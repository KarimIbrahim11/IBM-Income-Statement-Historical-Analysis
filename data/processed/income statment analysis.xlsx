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70ff5e995d35c07b/Desktop/Income statment/"/>
    </mc:Choice>
  </mc:AlternateContent>
  <xr:revisionPtr revIDLastSave="9" documentId="8_{07EF76A4-E257-4587-8326-0F4CEFC384BC}" xr6:coauthVersionLast="47" xr6:coauthVersionMax="47" xr10:uidLastSave="{830CD417-BE84-48BA-960E-58F4F739EEB8}"/>
  <bookViews>
    <workbookView xWindow="-108" yWindow="-108" windowWidth="23256" windowHeight="12576" activeTab="3" xr2:uid="{457C71B6-2A6E-4C86-82D1-6AC09E396837}"/>
  </bookViews>
  <sheets>
    <sheet name="Income statment" sheetId="2" r:id="rId1"/>
    <sheet name="Financial Calculations" sheetId="3" r:id="rId2"/>
    <sheet name="charts" sheetId="6" r:id="rId3"/>
    <sheet name="dashboard" sheetId="7" r:id="rId4"/>
  </sheets>
  <definedNames>
    <definedName name="_xlchart.v2.0" hidden="1">charts!$BI$10:$BN$10</definedName>
    <definedName name="_xlchart.v2.1" hidden="1">charts!$BI$9:$BN$9</definedName>
    <definedName name="_xlcn.WorksheetConnection_incomestatmentanalysis.xlsxTable21" hidden="1">Financials[]</definedName>
    <definedName name="_xlcn.WorksheetConnection_incomestatmentanalysis.xlsxtbl_financials1" hidden="1">tbl_financials[]</definedName>
    <definedName name="ExternalData_1" localSheetId="0" hidden="1">'Income statment'!$A$1:$T$21</definedName>
    <definedName name="Slicer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financials" name="tbl_financials" connection="WorksheetConnection_income statment analysis.xlsx!tbl_financials"/>
          <x15:modelTable id="Table2" name="Table2" connection="WorksheetConnection_income statment analysis.xlsx!Table2"/>
        </x15:modelTables>
        <x15:extLst>
          <ext xmlns:x16="http://schemas.microsoft.com/office/spreadsheetml/2014/11/main" uri="{9835A34E-60A6-4A7C-AAB8-D5F71C897F49}">
            <x16:modelTimeGroupings>
              <x16:modelTimeGrouping tableName="tbl_financials" columnName="fiscalDateEnding" columnId="fiscalDateEnding">
                <x16:calculatedTimeColumn columnName="fiscalDateEnding (Year)" columnId="fiscalDateEnding (Year)" contentType="years" isSelected="1"/>
                <x16:calculatedTimeColumn columnName="fiscalDateEnding (Quarter)" columnId="fiscalDateEnding (Quarter)" contentType="quarters" isSelected="1"/>
                <x16:calculatedTimeColumn columnName="fiscalDateEnding (Month Index)" columnId="fiscalDateEnding (Month Index)" contentType="monthsindex" isSelected="1"/>
                <x16:calculatedTimeColumn columnName="fiscalDateEnding (Month)" columnId="fiscalDateEnding (Month)" contentType="months" isSelected="1"/>
              </x16:modelTimeGrouping>
              <x16:modelTimeGrouping tableName="Table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 i="3" l="1"/>
  <c r="V3" i="3"/>
  <c r="V4" i="3"/>
  <c r="V5" i="3"/>
  <c r="V6" i="3"/>
  <c r="V7" i="3"/>
  <c r="V8" i="3"/>
  <c r="V9" i="3"/>
  <c r="V10" i="3"/>
  <c r="V11" i="3"/>
  <c r="V12" i="3"/>
  <c r="V13" i="3"/>
  <c r="V14" i="3"/>
  <c r="V15" i="3"/>
  <c r="V16" i="3"/>
  <c r="V17" i="3"/>
  <c r="V18" i="3"/>
  <c r="V19" i="3"/>
  <c r="V20" i="3"/>
  <c r="V21" i="3"/>
  <c r="N17" i="6"/>
  <c r="M17" i="6"/>
  <c r="C21" i="6"/>
  <c r="E22" i="6"/>
  <c r="F2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2297B6-1CD3-43D8-98F3-912604098850}" keepAlive="1" name="Query - Income statment" description="Connection to the 'Income statment' query in the workbook." type="5" refreshedVersion="8" background="1" saveData="1">
    <dbPr connection="Provider=Microsoft.Mashup.OleDb.1;Data Source=$Workbook$;Location=&quot;Income statment&quot;;Extended Properties=&quot;&quot;" command="SELECT * FROM [Income statment]"/>
  </connection>
  <connection id="2" xr16:uid="{3FC714EF-1D02-46B3-845F-8F51EE3A18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A6CD379-C35E-4D30-A14C-8716A5F5998D}" name="WorksheetConnection_income statment analysis.xlsx!Table2" type="102" refreshedVersion="8" minRefreshableVersion="5">
    <extLst>
      <ext xmlns:x15="http://schemas.microsoft.com/office/spreadsheetml/2010/11/main" uri="{DE250136-89BD-433C-8126-D09CA5730AF9}">
        <x15:connection id="Table2">
          <x15:rangePr sourceName="_xlcn.WorksheetConnection_incomestatmentanalysis.xlsxTable21"/>
        </x15:connection>
      </ext>
    </extLst>
  </connection>
  <connection id="4" xr16:uid="{C3EF1F77-6DC3-4C6B-AAA5-45D964DBC794}" name="WorksheetConnection_income statment analysis.xlsx!tbl_financials" type="102" refreshedVersion="8" minRefreshableVersion="5">
    <extLst>
      <ext xmlns:x15="http://schemas.microsoft.com/office/spreadsheetml/2010/11/main" uri="{DE250136-89BD-433C-8126-D09CA5730AF9}">
        <x15:connection id="tbl_financials">
          <x15:rangePr sourceName="_xlcn.WorksheetConnection_incomestatmentanalysis.xlsxtbl_financials1"/>
        </x15:connection>
      </ext>
    </extLst>
  </connection>
</connections>
</file>

<file path=xl/sharedStrings.xml><?xml version="1.0" encoding="utf-8"?>
<sst xmlns="http://schemas.openxmlformats.org/spreadsheetml/2006/main" count="136" uniqueCount="66">
  <si>
    <t>fiscalDateEnding</t>
  </si>
  <si>
    <t>grossProfit</t>
  </si>
  <si>
    <t>totalRevenue</t>
  </si>
  <si>
    <t>costOfRevenue</t>
  </si>
  <si>
    <t>costofGoodsAndServicesSold</t>
  </si>
  <si>
    <t>operatingIncome</t>
  </si>
  <si>
    <t>sellingGeneralAndAdministrative</t>
  </si>
  <si>
    <t>researchAndDevelopment</t>
  </si>
  <si>
    <t>operatingExpenses</t>
  </si>
  <si>
    <t>netInterestIncome</t>
  </si>
  <si>
    <t>interestIncome</t>
  </si>
  <si>
    <t>interestExpense</t>
  </si>
  <si>
    <t>otherNonOperatingIncome</t>
  </si>
  <si>
    <t>depreciationAndAmortization</t>
  </si>
  <si>
    <t>incomeBeforeTax</t>
  </si>
  <si>
    <t>incomeTaxExpense</t>
  </si>
  <si>
    <t>netIncomeFromContinuingOperations</t>
  </si>
  <si>
    <t>ebit</t>
  </si>
  <si>
    <t>ebitda</t>
  </si>
  <si>
    <t>netIncome</t>
  </si>
  <si>
    <t>Grand Total</t>
  </si>
  <si>
    <t>Row Labels</t>
  </si>
  <si>
    <t>Total Revenue</t>
  </si>
  <si>
    <t>Date</t>
  </si>
  <si>
    <t>EBITDA Margin</t>
  </si>
  <si>
    <t>Net Margin</t>
  </si>
  <si>
    <t>Operating Margin</t>
  </si>
  <si>
    <t>Gross Mrgin</t>
  </si>
  <si>
    <t>Year</t>
  </si>
  <si>
    <t>Total ebitda</t>
  </si>
  <si>
    <t>Total netIncome</t>
  </si>
  <si>
    <t>SG&amp;A Ratio</t>
  </si>
  <si>
    <t>R&amp;D Ratio</t>
  </si>
  <si>
    <t>Expense Ratio</t>
  </si>
  <si>
    <t>Total of depreciationAndAmortization</t>
  </si>
  <si>
    <t>SG&amp;A</t>
  </si>
  <si>
    <t>R&amp;D</t>
  </si>
  <si>
    <t>InterestExpense</t>
  </si>
  <si>
    <t>Sum of netIncomeFromContinuingOperations</t>
  </si>
  <si>
    <t>Gross Profit</t>
  </si>
  <si>
    <t>Operating Expenses</t>
  </si>
  <si>
    <t>Net Income</t>
  </si>
  <si>
    <t>Revenue LY</t>
  </si>
  <si>
    <t>2006</t>
  </si>
  <si>
    <t>2007</t>
  </si>
  <si>
    <t>2008</t>
  </si>
  <si>
    <t>2009</t>
  </si>
  <si>
    <t>2010</t>
  </si>
  <si>
    <t>2011</t>
  </si>
  <si>
    <t>2012</t>
  </si>
  <si>
    <t>2013</t>
  </si>
  <si>
    <t>2014</t>
  </si>
  <si>
    <t>2015</t>
  </si>
  <si>
    <t>2016</t>
  </si>
  <si>
    <t>2017</t>
  </si>
  <si>
    <t>2018</t>
  </si>
  <si>
    <t>2019</t>
  </si>
  <si>
    <t>2020</t>
  </si>
  <si>
    <t>2021</t>
  </si>
  <si>
    <t>2022</t>
  </si>
  <si>
    <t>2023</t>
  </si>
  <si>
    <t>2024</t>
  </si>
  <si>
    <t>2025</t>
  </si>
  <si>
    <t>COGS</t>
  </si>
  <si>
    <t>Interest Expense</t>
  </si>
  <si>
    <t>IncomeTaxExpense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</si>
</sst>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4" tint="0.79998168889431442"/>
        <bgColor theme="4" tint="0.79998168889431442"/>
      </patternFill>
    </fill>
  </fills>
  <borders count="5">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14" fontId="0" fillId="0" borderId="0" xfId="0" applyNumberFormat="1"/>
    <xf numFmtId="0" fontId="0" fillId="2" borderId="1" xfId="0" applyFont="1" applyFill="1" applyBorder="1"/>
    <xf numFmtId="0" fontId="0" fillId="0" borderId="1" xfId="0" applyFont="1" applyBorder="1"/>
    <xf numFmtId="0" fontId="0" fillId="2" borderId="2" xfId="0" applyFont="1" applyFill="1" applyBorder="1"/>
    <xf numFmtId="0" fontId="0" fillId="2" borderId="3" xfId="0" applyFont="1" applyFill="1" applyBorder="1"/>
    <xf numFmtId="0" fontId="0" fillId="0" borderId="0" xfId="0" applyNumberFormat="1"/>
    <xf numFmtId="0" fontId="2" fillId="3" borderId="4" xfId="0" applyFont="1" applyFill="1" applyBorder="1"/>
    <xf numFmtId="0" fontId="0" fillId="0" borderId="0" xfId="0" pivotButton="1"/>
    <xf numFmtId="14" fontId="0" fillId="2" borderId="2" xfId="0" applyNumberFormat="1" applyFont="1" applyFill="1" applyBorder="1"/>
    <xf numFmtId="14" fontId="0" fillId="0" borderId="1" xfId="0" applyNumberFormat="1" applyFont="1" applyBorder="1"/>
    <xf numFmtId="14" fontId="0" fillId="2" borderId="1" xfId="0" applyNumberFormat="1" applyFont="1" applyFill="1" applyBorder="1"/>
    <xf numFmtId="14" fontId="0" fillId="2" borderId="3" xfId="0" applyNumberFormat="1" applyFont="1" applyFill="1" applyBorder="1"/>
    <xf numFmtId="0" fontId="0" fillId="0" borderId="0" xfId="0" applyAlignment="1">
      <alignment horizontal="left"/>
    </xf>
    <xf numFmtId="164" fontId="0" fillId="0" borderId="0" xfId="0" applyNumberFormat="1"/>
    <xf numFmtId="2" fontId="0" fillId="0" borderId="0" xfId="0" applyNumberFormat="1"/>
    <xf numFmtId="164" fontId="0" fillId="0" borderId="0" xfId="1" applyNumberFormat="1" applyFont="1"/>
    <xf numFmtId="164" fontId="0" fillId="0" borderId="1" xfId="1" applyNumberFormat="1" applyFont="1" applyBorder="1"/>
    <xf numFmtId="164" fontId="0" fillId="2" borderId="1" xfId="1" applyNumberFormat="1" applyFont="1" applyFill="1" applyBorder="1"/>
    <xf numFmtId="164" fontId="0" fillId="2" borderId="3" xfId="1" applyNumberFormat="1" applyFont="1" applyFill="1" applyBorder="1"/>
    <xf numFmtId="1" fontId="0" fillId="0" borderId="0" xfId="0" applyNumberFormat="1"/>
  </cellXfs>
  <cellStyles count="2">
    <cellStyle name="Comma" xfId="1" builtinId="3"/>
    <cellStyle name="Normal" xfId="0" builtinId="0"/>
  </cellStyles>
  <dxfs count="36">
    <dxf>
      <numFmt numFmtId="164" formatCode="_(* #,##0_);_(* \(#,##0\);_(* &quot;-&quot;??_);_(@_)"/>
    </dxf>
    <dxf>
      <numFmt numFmtId="2"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2" formatCode="0.00"/>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numFmt numFmtId="164" formatCode="_(* #,##0_);_(* \(#,##0\);_(* &quot;-&quot;??_);_(@_)"/>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
      <border outline="0">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
      <numFmt numFmtId="19" formatCode="m/d/yyyy"/>
    </dxf>
  </dxfs>
  <tableStyles count="0" defaultTableStyle="TableStyleMedium2" defaultPivotStyle="PivotStyleLight16"/>
  <colors>
    <mruColors>
      <color rgb="FF622B14"/>
      <color rgb="FF995F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6.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4.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statment analysis.xlsx]charts!PivotTable2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Total Revenue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c:f>
              <c:strCache>
                <c:ptCount val="1"/>
                <c:pt idx="0">
                  <c:v>Total</c:v>
                </c:pt>
              </c:strCache>
            </c:strRef>
          </c:tx>
          <c:spPr>
            <a:ln w="28575" cap="rnd">
              <a:solidFill>
                <a:schemeClr val="accent1"/>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charts!$A$2:$A$22</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charts!$B$2:$B$22</c:f>
              <c:numCache>
                <c:formatCode>_(* #,##0_);_(* \(#,##0\);_(* "-"??_);_(@_)</c:formatCode>
                <c:ptCount val="20"/>
                <c:pt idx="0">
                  <c:v>91424000000</c:v>
                </c:pt>
                <c:pt idx="1">
                  <c:v>98786000000</c:v>
                </c:pt>
                <c:pt idx="2">
                  <c:v>103630000000</c:v>
                </c:pt>
                <c:pt idx="3">
                  <c:v>95758000000</c:v>
                </c:pt>
                <c:pt idx="4">
                  <c:v>99871000000</c:v>
                </c:pt>
                <c:pt idx="5">
                  <c:v>106916000000</c:v>
                </c:pt>
                <c:pt idx="6">
                  <c:v>102874000000</c:v>
                </c:pt>
                <c:pt idx="7">
                  <c:v>98368000000</c:v>
                </c:pt>
                <c:pt idx="8">
                  <c:v>92793000000</c:v>
                </c:pt>
                <c:pt idx="9">
                  <c:v>81742000000</c:v>
                </c:pt>
                <c:pt idx="10">
                  <c:v>79920000000</c:v>
                </c:pt>
                <c:pt idx="11">
                  <c:v>79139000000</c:v>
                </c:pt>
                <c:pt idx="12">
                  <c:v>79591000000</c:v>
                </c:pt>
                <c:pt idx="13">
                  <c:v>57714000000</c:v>
                </c:pt>
                <c:pt idx="14">
                  <c:v>73621000000</c:v>
                </c:pt>
                <c:pt idx="15">
                  <c:v>57351000000</c:v>
                </c:pt>
                <c:pt idx="16">
                  <c:v>60530000000</c:v>
                </c:pt>
                <c:pt idx="17">
                  <c:v>61860000000</c:v>
                </c:pt>
                <c:pt idx="18">
                  <c:v>62753000000</c:v>
                </c:pt>
                <c:pt idx="19">
                  <c:v>67535000000</c:v>
                </c:pt>
              </c:numCache>
            </c:numRef>
          </c:val>
          <c:smooth val="0"/>
          <c:extLst>
            <c:ext xmlns:c16="http://schemas.microsoft.com/office/drawing/2014/chart" uri="{C3380CC4-5D6E-409C-BE32-E72D297353CC}">
              <c16:uniqueId val="{00000000-4345-4845-AB6F-75CA8D8E2281}"/>
            </c:ext>
          </c:extLst>
        </c:ser>
        <c:dLbls>
          <c:dLblPos val="t"/>
          <c:showLegendKey val="0"/>
          <c:showVal val="1"/>
          <c:showCatName val="0"/>
          <c:showSerName val="0"/>
          <c:showPercent val="0"/>
          <c:showBubbleSize val="0"/>
        </c:dLbls>
        <c:smooth val="0"/>
        <c:axId val="635066832"/>
        <c:axId val="635067792"/>
      </c:lineChart>
      <c:catAx>
        <c:axId val="63506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635067792"/>
        <c:crosses val="autoZero"/>
        <c:auto val="1"/>
        <c:lblAlgn val="ctr"/>
        <c:lblOffset val="100"/>
        <c:noMultiLvlLbl val="0"/>
      </c:catAx>
      <c:valAx>
        <c:axId val="635067792"/>
        <c:scaling>
          <c:orientation val="minMax"/>
        </c:scaling>
        <c:delete val="1"/>
        <c:axPos val="l"/>
        <c:numFmt formatCode="0,,," sourceLinked="0"/>
        <c:majorTickMark val="none"/>
        <c:minorTickMark val="none"/>
        <c:tickLblPos val="nextTo"/>
        <c:crossAx val="63506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statment analysis.xlsx]charts!PivotTable4</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EBITDA vs Net Income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5F2F"/>
          </a:solidFill>
          <a:ln>
            <a:noFill/>
          </a:ln>
          <a:effectLst/>
        </c:spPr>
        <c:marker>
          <c:symbol val="none"/>
        </c:marker>
        <c:dLbl>
          <c:idx val="0"/>
          <c:numFmt formatCode="0,,," sourceLinked="0"/>
          <c:spPr>
            <a:solidFill>
              <a:srgbClr val="995F2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 sourceLinked="0"/>
          <c:spPr>
            <a:solidFill>
              <a:srgbClr val="622B1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charts!$T$2</c:f>
              <c:strCache>
                <c:ptCount val="1"/>
                <c:pt idx="0">
                  <c:v>Total ebitda</c:v>
                </c:pt>
              </c:strCache>
            </c:strRef>
          </c:tx>
          <c:spPr>
            <a:solidFill>
              <a:srgbClr val="995F2F"/>
            </a:solidFill>
            <a:ln>
              <a:noFill/>
            </a:ln>
            <a:effectLst/>
          </c:spPr>
          <c:invertIfNegative val="0"/>
          <c:dLbls>
            <c:numFmt formatCode="0,,," sourceLinked="0"/>
            <c:spPr>
              <a:solidFill>
                <a:srgbClr val="995F2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charts!$S$3:$S$23</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charts!$T$3:$T$23</c:f>
              <c:numCache>
                <c:formatCode>General</c:formatCode>
                <c:ptCount val="20"/>
                <c:pt idx="0">
                  <c:v>18578000000</c:v>
                </c:pt>
                <c:pt idx="1">
                  <c:v>20301000000</c:v>
                </c:pt>
                <c:pt idx="2">
                  <c:v>22838000000</c:v>
                </c:pt>
                <c:pt idx="3">
                  <c:v>23534000000</c:v>
                </c:pt>
                <c:pt idx="4">
                  <c:v>24922000000</c:v>
                </c:pt>
                <c:pt idx="5">
                  <c:v>26229000000</c:v>
                </c:pt>
                <c:pt idx="6">
                  <c:v>27675000000</c:v>
                </c:pt>
                <c:pt idx="7">
                  <c:v>25324000000</c:v>
                </c:pt>
                <c:pt idx="8">
                  <c:v>24962000000</c:v>
                </c:pt>
                <c:pt idx="9">
                  <c:v>20268000000</c:v>
                </c:pt>
                <c:pt idx="10">
                  <c:v>17341000000</c:v>
                </c:pt>
                <c:pt idx="11">
                  <c:v>16556000000</c:v>
                </c:pt>
                <c:pt idx="12">
                  <c:v>16545000000</c:v>
                </c:pt>
                <c:pt idx="13">
                  <c:v>14609000000</c:v>
                </c:pt>
                <c:pt idx="14">
                  <c:v>12709000000</c:v>
                </c:pt>
                <c:pt idx="15">
                  <c:v>13438000000</c:v>
                </c:pt>
                <c:pt idx="16">
                  <c:v>7174000000</c:v>
                </c:pt>
                <c:pt idx="17">
                  <c:v>7514000000</c:v>
                </c:pt>
                <c:pt idx="18">
                  <c:v>12176000000</c:v>
                </c:pt>
                <c:pt idx="19">
                  <c:v>17284000000</c:v>
                </c:pt>
              </c:numCache>
            </c:numRef>
          </c:val>
          <c:extLst>
            <c:ext xmlns:c16="http://schemas.microsoft.com/office/drawing/2014/chart" uri="{C3380CC4-5D6E-409C-BE32-E72D297353CC}">
              <c16:uniqueId val="{00000000-4B90-4867-BC48-CEFE5DB18AB3}"/>
            </c:ext>
          </c:extLst>
        </c:ser>
        <c:dLbls>
          <c:showLegendKey val="0"/>
          <c:showVal val="1"/>
          <c:showCatName val="0"/>
          <c:showSerName val="0"/>
          <c:showPercent val="0"/>
          <c:showBubbleSize val="0"/>
        </c:dLbls>
        <c:gapWidth val="219"/>
        <c:axId val="454732624"/>
        <c:axId val="454731184"/>
      </c:barChart>
      <c:lineChart>
        <c:grouping val="standard"/>
        <c:varyColors val="0"/>
        <c:ser>
          <c:idx val="1"/>
          <c:order val="1"/>
          <c:tx>
            <c:strRef>
              <c:f>charts!$U$2</c:f>
              <c:strCache>
                <c:ptCount val="1"/>
                <c:pt idx="0">
                  <c:v>Total netIncome</c:v>
                </c:pt>
              </c:strCache>
            </c:strRef>
          </c:tx>
          <c:spPr>
            <a:ln w="28575" cap="rnd">
              <a:solidFill>
                <a:schemeClr val="accent2"/>
              </a:solidFill>
              <a:round/>
            </a:ln>
            <a:effectLst/>
          </c:spPr>
          <c:marker>
            <c:symbol val="none"/>
          </c:marker>
          <c:dLbls>
            <c:numFmt formatCode="0,,," sourceLinked="0"/>
            <c:spPr>
              <a:solidFill>
                <a:srgbClr val="622B1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charts!$S$3:$S$23</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charts!$U$3:$U$23</c:f>
              <c:numCache>
                <c:formatCode>General</c:formatCode>
                <c:ptCount val="20"/>
                <c:pt idx="0">
                  <c:v>9492000000</c:v>
                </c:pt>
                <c:pt idx="1">
                  <c:v>10418000000</c:v>
                </c:pt>
                <c:pt idx="2">
                  <c:v>12334000000</c:v>
                </c:pt>
                <c:pt idx="3">
                  <c:v>13425000000</c:v>
                </c:pt>
                <c:pt idx="4">
                  <c:v>14833000000</c:v>
                </c:pt>
                <c:pt idx="5">
                  <c:v>15855000000</c:v>
                </c:pt>
                <c:pt idx="6">
                  <c:v>16604000000</c:v>
                </c:pt>
                <c:pt idx="7">
                  <c:v>16483000000</c:v>
                </c:pt>
                <c:pt idx="8">
                  <c:v>12022000000</c:v>
                </c:pt>
                <c:pt idx="9">
                  <c:v>13190000000</c:v>
                </c:pt>
                <c:pt idx="10">
                  <c:v>11872000000</c:v>
                </c:pt>
                <c:pt idx="11">
                  <c:v>5753000000</c:v>
                </c:pt>
                <c:pt idx="12">
                  <c:v>8728000000</c:v>
                </c:pt>
                <c:pt idx="13">
                  <c:v>9431000000</c:v>
                </c:pt>
                <c:pt idx="14">
                  <c:v>5590000000</c:v>
                </c:pt>
                <c:pt idx="15">
                  <c:v>5742000000</c:v>
                </c:pt>
                <c:pt idx="16">
                  <c:v>1640000000</c:v>
                </c:pt>
                <c:pt idx="17">
                  <c:v>7502000000</c:v>
                </c:pt>
                <c:pt idx="18">
                  <c:v>6023000000</c:v>
                </c:pt>
                <c:pt idx="19">
                  <c:v>10593000000</c:v>
                </c:pt>
              </c:numCache>
            </c:numRef>
          </c:val>
          <c:smooth val="0"/>
          <c:extLst>
            <c:ext xmlns:c16="http://schemas.microsoft.com/office/drawing/2014/chart" uri="{C3380CC4-5D6E-409C-BE32-E72D297353CC}">
              <c16:uniqueId val="{00000001-4B90-4867-BC48-CEFE5DB18AB3}"/>
            </c:ext>
          </c:extLst>
        </c:ser>
        <c:dLbls>
          <c:showLegendKey val="0"/>
          <c:showVal val="0"/>
          <c:showCatName val="0"/>
          <c:showSerName val="0"/>
          <c:showPercent val="0"/>
          <c:showBubbleSize val="0"/>
        </c:dLbls>
        <c:marker val="1"/>
        <c:smooth val="0"/>
        <c:axId val="454732624"/>
        <c:axId val="454731184"/>
      </c:lineChart>
      <c:catAx>
        <c:axId val="4547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4731184"/>
        <c:crosses val="autoZero"/>
        <c:auto val="1"/>
        <c:lblAlgn val="ctr"/>
        <c:lblOffset val="100"/>
        <c:noMultiLvlLbl val="0"/>
      </c:catAx>
      <c:valAx>
        <c:axId val="454731184"/>
        <c:scaling>
          <c:orientation val="minMax"/>
        </c:scaling>
        <c:delete val="1"/>
        <c:axPos val="l"/>
        <c:numFmt formatCode="General" sourceLinked="1"/>
        <c:majorTickMark val="none"/>
        <c:minorTickMark val="none"/>
        <c:tickLblPos val="nextTo"/>
        <c:crossAx val="4547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statment analysis.xlsx]charts!PivotTable3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ysClr val="windowText" lastClr="000000"/>
                </a:solidFill>
              </a:rPr>
              <a:t>Margins Analysis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charts!$M$2</c:f>
              <c:strCache>
                <c:ptCount val="1"/>
                <c:pt idx="0">
                  <c:v>EBITDA Margin</c:v>
                </c:pt>
              </c:strCache>
            </c:strRef>
          </c:tx>
          <c:spPr>
            <a:solidFill>
              <a:schemeClr val="accent1"/>
            </a:solidFill>
            <a:ln>
              <a:noFill/>
            </a:ln>
            <a:effectLst/>
          </c:spPr>
          <c:invertIfNegative val="0"/>
          <c:dLbls>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charts!$M$3</c:f>
              <c:strCache>
                <c:ptCount val="1"/>
                <c:pt idx="0">
                  <c:v>Total</c:v>
                </c:pt>
              </c:strCache>
            </c:strRef>
          </c:cat>
          <c:val>
            <c:numRef>
              <c:f>charts!$M$3</c:f>
              <c:numCache>
                <c:formatCode>General</c:formatCode>
                <c:ptCount val="1"/>
                <c:pt idx="0">
                  <c:v>22.393316450547641</c:v>
                </c:pt>
              </c:numCache>
            </c:numRef>
          </c:val>
          <c:extLst>
            <c:ext xmlns:c16="http://schemas.microsoft.com/office/drawing/2014/chart" uri="{C3380CC4-5D6E-409C-BE32-E72D297353CC}">
              <c16:uniqueId val="{00000000-54DB-4117-997E-756C6CB5CE69}"/>
            </c:ext>
          </c:extLst>
        </c:ser>
        <c:ser>
          <c:idx val="1"/>
          <c:order val="1"/>
          <c:tx>
            <c:strRef>
              <c:f>charts!$N$2</c:f>
              <c:strCache>
                <c:ptCount val="1"/>
                <c:pt idx="0">
                  <c:v>Net Margin</c:v>
                </c:pt>
              </c:strCache>
            </c:strRef>
          </c:tx>
          <c:spPr>
            <a:solidFill>
              <a:schemeClr val="accent2"/>
            </a:solidFill>
            <a:ln>
              <a:noFill/>
            </a:ln>
            <a:effectLst/>
          </c:spPr>
          <c:invertIfNegative val="0"/>
          <c:dLbls>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charts!$M$3</c:f>
              <c:strCache>
                <c:ptCount val="1"/>
                <c:pt idx="0">
                  <c:v>Total</c:v>
                </c:pt>
              </c:strCache>
            </c:strRef>
          </c:cat>
          <c:val>
            <c:numRef>
              <c:f>charts!$N$3</c:f>
              <c:numCache>
                <c:formatCode>General</c:formatCode>
                <c:ptCount val="1"/>
                <c:pt idx="0">
                  <c:v>12.561010449249959</c:v>
                </c:pt>
              </c:numCache>
            </c:numRef>
          </c:val>
          <c:extLst>
            <c:ext xmlns:c16="http://schemas.microsoft.com/office/drawing/2014/chart" uri="{C3380CC4-5D6E-409C-BE32-E72D297353CC}">
              <c16:uniqueId val="{00000001-54DB-4117-997E-756C6CB5CE69}"/>
            </c:ext>
          </c:extLst>
        </c:ser>
        <c:ser>
          <c:idx val="2"/>
          <c:order val="2"/>
          <c:tx>
            <c:strRef>
              <c:f>charts!$O$2</c:f>
              <c:strCache>
                <c:ptCount val="1"/>
                <c:pt idx="0">
                  <c:v>Operating Margin</c:v>
                </c:pt>
              </c:strCache>
            </c:strRef>
          </c:tx>
          <c:spPr>
            <a:solidFill>
              <a:schemeClr val="accent3"/>
            </a:solidFill>
            <a:ln>
              <a:noFill/>
            </a:ln>
            <a:effectLst/>
          </c:spPr>
          <c:invertIfNegative val="0"/>
          <c:dLbls>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charts!$M$3</c:f>
              <c:strCache>
                <c:ptCount val="1"/>
                <c:pt idx="0">
                  <c:v>Total</c:v>
                </c:pt>
              </c:strCache>
            </c:strRef>
          </c:cat>
          <c:val>
            <c:numRef>
              <c:f>charts!$O$3</c:f>
              <c:numCache>
                <c:formatCode>General</c:formatCode>
                <c:ptCount val="1"/>
                <c:pt idx="0">
                  <c:v>16.948799643621506</c:v>
                </c:pt>
              </c:numCache>
            </c:numRef>
          </c:val>
          <c:extLst>
            <c:ext xmlns:c16="http://schemas.microsoft.com/office/drawing/2014/chart" uri="{C3380CC4-5D6E-409C-BE32-E72D297353CC}">
              <c16:uniqueId val="{00000002-54DB-4117-997E-756C6CB5CE69}"/>
            </c:ext>
          </c:extLst>
        </c:ser>
        <c:ser>
          <c:idx val="3"/>
          <c:order val="3"/>
          <c:tx>
            <c:strRef>
              <c:f>charts!$P$2</c:f>
              <c:strCache>
                <c:ptCount val="1"/>
                <c:pt idx="0">
                  <c:v>Gross Mrgin</c:v>
                </c:pt>
              </c:strCache>
            </c:strRef>
          </c:tx>
          <c:spPr>
            <a:solidFill>
              <a:schemeClr val="accent4"/>
            </a:solidFill>
            <a:ln>
              <a:noFill/>
            </a:ln>
            <a:effectLst/>
          </c:spPr>
          <c:invertIfNegative val="0"/>
          <c:dLbls>
            <c:numFmt formatCode="_(* #,##0_);_(* \(#,##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charts!$M$3</c:f>
              <c:strCache>
                <c:ptCount val="1"/>
                <c:pt idx="0">
                  <c:v>Total</c:v>
                </c:pt>
              </c:strCache>
            </c:strRef>
          </c:cat>
          <c:val>
            <c:numRef>
              <c:f>charts!$P$3</c:f>
              <c:numCache>
                <c:formatCode>General</c:formatCode>
                <c:ptCount val="1"/>
                <c:pt idx="0">
                  <c:v>48.75206999738527</c:v>
                </c:pt>
              </c:numCache>
            </c:numRef>
          </c:val>
          <c:extLst>
            <c:ext xmlns:c16="http://schemas.microsoft.com/office/drawing/2014/chart" uri="{C3380CC4-5D6E-409C-BE32-E72D297353CC}">
              <c16:uniqueId val="{00000003-54DB-4117-997E-756C6CB5CE69}"/>
            </c:ext>
          </c:extLst>
        </c:ser>
        <c:dLbls>
          <c:dLblPos val="outEnd"/>
          <c:showLegendKey val="0"/>
          <c:showVal val="1"/>
          <c:showCatName val="0"/>
          <c:showSerName val="0"/>
          <c:showPercent val="0"/>
          <c:showBubbleSize val="0"/>
        </c:dLbls>
        <c:gapWidth val="219"/>
        <c:overlap val="-27"/>
        <c:axId val="1834367920"/>
        <c:axId val="1834368400"/>
      </c:barChart>
      <c:catAx>
        <c:axId val="183436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68400"/>
        <c:crosses val="autoZero"/>
        <c:auto val="1"/>
        <c:lblAlgn val="ctr"/>
        <c:lblOffset val="100"/>
        <c:noMultiLvlLbl val="0"/>
      </c:catAx>
      <c:valAx>
        <c:axId val="1834368400"/>
        <c:scaling>
          <c:orientation val="minMax"/>
        </c:scaling>
        <c:delete val="1"/>
        <c:axPos val="l"/>
        <c:numFmt formatCode="General" sourceLinked="1"/>
        <c:majorTickMark val="none"/>
        <c:minorTickMark val="none"/>
        <c:tickLblPos val="nextTo"/>
        <c:crossAx val="183436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statment analysis.xlsx]charts!PivotTable5</c:name>
    <c:fmtId val="4"/>
  </c:pivotSource>
  <c:chart>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15270935960592E-2"/>
          <c:y val="6.4782096584216728E-2"/>
          <c:w val="0.60919540229885061"/>
          <c:h val="0.87043580683156652"/>
        </c:manualLayout>
      </c:layout>
      <c:barChart>
        <c:barDir val="col"/>
        <c:grouping val="clustered"/>
        <c:varyColors val="0"/>
        <c:ser>
          <c:idx val="0"/>
          <c:order val="0"/>
          <c:tx>
            <c:strRef>
              <c:f>charts!$AC$3</c:f>
              <c:strCache>
                <c:ptCount val="1"/>
                <c:pt idx="0">
                  <c:v>COGS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charts!$AC$4</c:f>
              <c:strCache>
                <c:ptCount val="1"/>
                <c:pt idx="0">
                  <c:v>Total</c:v>
                </c:pt>
              </c:strCache>
            </c:strRef>
          </c:cat>
          <c:val>
            <c:numRef>
              <c:f>charts!$AC$4</c:f>
              <c:numCache>
                <c:formatCode>_(* #,##0_);_(* \(#,##0\);_(* "-"??_);_(@_)</c:formatCode>
                <c:ptCount val="1"/>
                <c:pt idx="0">
                  <c:v>846701000000</c:v>
                </c:pt>
              </c:numCache>
            </c:numRef>
          </c:val>
          <c:extLst>
            <c:ext xmlns:c16="http://schemas.microsoft.com/office/drawing/2014/chart" uri="{C3380CC4-5D6E-409C-BE32-E72D297353CC}">
              <c16:uniqueId val="{00000000-163C-475A-B353-33007D917707}"/>
            </c:ext>
          </c:extLst>
        </c:ser>
        <c:ser>
          <c:idx val="1"/>
          <c:order val="1"/>
          <c:tx>
            <c:strRef>
              <c:f>charts!$AD$3</c:f>
              <c:strCache>
                <c:ptCount val="1"/>
                <c:pt idx="0">
                  <c:v>SG&amp;A</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charts!$AC$4</c:f>
              <c:strCache>
                <c:ptCount val="1"/>
                <c:pt idx="0">
                  <c:v>Total</c:v>
                </c:pt>
              </c:strCache>
            </c:strRef>
          </c:cat>
          <c:val>
            <c:numRef>
              <c:f>charts!$AD$4</c:f>
              <c:numCache>
                <c:formatCode>_(* #,##0_);_(* \(#,##0\);_(* "-"??_);_(@_)</c:formatCode>
                <c:ptCount val="1"/>
                <c:pt idx="0">
                  <c:v>387361000000</c:v>
                </c:pt>
              </c:numCache>
            </c:numRef>
          </c:val>
          <c:extLst>
            <c:ext xmlns:c16="http://schemas.microsoft.com/office/drawing/2014/chart" uri="{C3380CC4-5D6E-409C-BE32-E72D297353CC}">
              <c16:uniqueId val="{00000001-163C-475A-B353-33007D917707}"/>
            </c:ext>
          </c:extLst>
        </c:ser>
        <c:ser>
          <c:idx val="2"/>
          <c:order val="2"/>
          <c:tx>
            <c:strRef>
              <c:f>charts!$AE$3</c:f>
              <c:strCache>
                <c:ptCount val="1"/>
                <c:pt idx="0">
                  <c:v>R&amp;D</c:v>
                </c:pt>
              </c:strCache>
            </c:strRef>
          </c:tx>
          <c:spPr>
            <a:solidFill>
              <a:schemeClr val="accent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charts!$AC$4</c:f>
              <c:strCache>
                <c:ptCount val="1"/>
                <c:pt idx="0">
                  <c:v>Total</c:v>
                </c:pt>
              </c:strCache>
            </c:strRef>
          </c:cat>
          <c:val>
            <c:numRef>
              <c:f>charts!$AE$4</c:f>
              <c:numCache>
                <c:formatCode>_(* #,##0_);_(* \(#,##0\);_(* "-"??_);_(@_)</c:formatCode>
                <c:ptCount val="1"/>
                <c:pt idx="0">
                  <c:v>123367000000</c:v>
                </c:pt>
              </c:numCache>
            </c:numRef>
          </c:val>
          <c:extLst>
            <c:ext xmlns:c16="http://schemas.microsoft.com/office/drawing/2014/chart" uri="{C3380CC4-5D6E-409C-BE32-E72D297353CC}">
              <c16:uniqueId val="{00000002-163C-475A-B353-33007D917707}"/>
            </c:ext>
          </c:extLst>
        </c:ser>
        <c:ser>
          <c:idx val="3"/>
          <c:order val="3"/>
          <c:tx>
            <c:strRef>
              <c:f>charts!$AF$3</c:f>
              <c:strCache>
                <c:ptCount val="1"/>
                <c:pt idx="0">
                  <c:v>Interest Expense</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charts!$AC$4</c:f>
              <c:strCache>
                <c:ptCount val="1"/>
                <c:pt idx="0">
                  <c:v>Total</c:v>
                </c:pt>
              </c:strCache>
            </c:strRef>
          </c:cat>
          <c:val>
            <c:numRef>
              <c:f>charts!$AF$4</c:f>
              <c:numCache>
                <c:formatCode>_(* #,##0_);_(* \(#,##0\);_(* "-"??_);_(@_)</c:formatCode>
                <c:ptCount val="1"/>
                <c:pt idx="0">
                  <c:v>16470000000</c:v>
                </c:pt>
              </c:numCache>
            </c:numRef>
          </c:val>
          <c:extLst>
            <c:ext xmlns:c16="http://schemas.microsoft.com/office/drawing/2014/chart" uri="{C3380CC4-5D6E-409C-BE32-E72D297353CC}">
              <c16:uniqueId val="{00000003-163C-475A-B353-33007D917707}"/>
            </c:ext>
          </c:extLst>
        </c:ser>
        <c:ser>
          <c:idx val="4"/>
          <c:order val="4"/>
          <c:tx>
            <c:strRef>
              <c:f>charts!$AG$3</c:f>
              <c:strCache>
                <c:ptCount val="1"/>
                <c:pt idx="0">
                  <c:v>IncomeTaxExpense</c:v>
                </c:pt>
              </c:strCache>
            </c:strRef>
          </c:tx>
          <c:spPr>
            <a:solidFill>
              <a:schemeClr val="accent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charts!$AC$4</c:f>
              <c:strCache>
                <c:ptCount val="1"/>
                <c:pt idx="0">
                  <c:v>Total</c:v>
                </c:pt>
              </c:strCache>
            </c:strRef>
          </c:cat>
          <c:val>
            <c:numRef>
              <c:f>charts!$AG$4</c:f>
              <c:numCache>
                <c:formatCode>_(* #,##0_);_(* \(#,##0\);_(* "-"??_);_(@_)</c:formatCode>
                <c:ptCount val="1"/>
                <c:pt idx="0">
                  <c:v>50943000000</c:v>
                </c:pt>
              </c:numCache>
            </c:numRef>
          </c:val>
          <c:extLst>
            <c:ext xmlns:c16="http://schemas.microsoft.com/office/drawing/2014/chart" uri="{C3380CC4-5D6E-409C-BE32-E72D297353CC}">
              <c16:uniqueId val="{00000004-163C-475A-B353-33007D917707}"/>
            </c:ext>
          </c:extLst>
        </c:ser>
        <c:ser>
          <c:idx val="5"/>
          <c:order val="5"/>
          <c:tx>
            <c:strRef>
              <c:f>charts!$AH$3</c:f>
              <c:strCache>
                <c:ptCount val="1"/>
                <c:pt idx="0">
                  <c:v>Total of depreciationAndAmortization</c:v>
                </c:pt>
              </c:strCache>
            </c:strRef>
          </c:tx>
          <c:spPr>
            <a:solidFill>
              <a:schemeClr val="accent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charts!$AC$4</c:f>
              <c:strCache>
                <c:ptCount val="1"/>
                <c:pt idx="0">
                  <c:v>Total</c:v>
                </c:pt>
              </c:strCache>
            </c:strRef>
          </c:cat>
          <c:val>
            <c:numRef>
              <c:f>charts!$AH$4</c:f>
              <c:numCache>
                <c:formatCode>_(* #,##0_);_(* \(#,##0\);_(* "-"??_);_(@_)</c:formatCode>
                <c:ptCount val="1"/>
                <c:pt idx="0">
                  <c:v>99433000000</c:v>
                </c:pt>
              </c:numCache>
            </c:numRef>
          </c:val>
          <c:extLst>
            <c:ext xmlns:c16="http://schemas.microsoft.com/office/drawing/2014/chart" uri="{C3380CC4-5D6E-409C-BE32-E72D297353CC}">
              <c16:uniqueId val="{00000005-163C-475A-B353-33007D917707}"/>
            </c:ext>
          </c:extLst>
        </c:ser>
        <c:dLbls>
          <c:dLblPos val="outEnd"/>
          <c:showLegendKey val="0"/>
          <c:showVal val="1"/>
          <c:showCatName val="0"/>
          <c:showSerName val="0"/>
          <c:showPercent val="0"/>
          <c:showBubbleSize val="0"/>
        </c:dLbls>
        <c:gapWidth val="219"/>
        <c:overlap val="-27"/>
        <c:axId val="646871952"/>
        <c:axId val="646870032"/>
      </c:barChart>
      <c:catAx>
        <c:axId val="646871952"/>
        <c:scaling>
          <c:orientation val="minMax"/>
        </c:scaling>
        <c:delete val="1"/>
        <c:axPos val="b"/>
        <c:numFmt formatCode="General" sourceLinked="1"/>
        <c:majorTickMark val="none"/>
        <c:minorTickMark val="none"/>
        <c:tickLblPos val="nextTo"/>
        <c:crossAx val="646870032"/>
        <c:crosses val="autoZero"/>
        <c:auto val="1"/>
        <c:lblAlgn val="ctr"/>
        <c:lblOffset val="100"/>
        <c:noMultiLvlLbl val="0"/>
      </c:catAx>
      <c:valAx>
        <c:axId val="646870032"/>
        <c:scaling>
          <c:orientation val="minMax"/>
        </c:scaling>
        <c:delete val="1"/>
        <c:axPos val="l"/>
        <c:numFmt formatCode="_(* #,##0_);_(* \(#,##0\);_(* &quot;-&quot;??_);_(@_)" sourceLinked="1"/>
        <c:majorTickMark val="none"/>
        <c:minorTickMark val="none"/>
        <c:tickLblPos val="nextTo"/>
        <c:crossAx val="646871952"/>
        <c:crosses val="autoZero"/>
        <c:crossBetween val="between"/>
      </c:valAx>
      <c:spPr>
        <a:solidFill>
          <a:schemeClr val="bg1">
            <a:lumMod val="85000"/>
          </a:schemeClr>
        </a:solidFill>
        <a:ln>
          <a:noFill/>
        </a:ln>
        <a:effectLst/>
      </c:spPr>
    </c:plotArea>
    <c:legend>
      <c:legendPos val="r"/>
      <c:layout>
        <c:manualLayout>
          <c:xMode val="edge"/>
          <c:yMode val="edge"/>
          <c:x val="0.62052221920535799"/>
          <c:y val="3.6042866549808476E-2"/>
          <c:w val="0.35994078326416096"/>
          <c:h val="0.91327082347922051"/>
        </c:manualLayout>
      </c:layout>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statment analysis.xlsx]charts!PivotTable6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Expense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charts!$AL$3</c:f>
              <c:strCache>
                <c:ptCount val="1"/>
                <c:pt idx="0">
                  <c:v>SG&amp;A</c:v>
                </c:pt>
              </c:strCache>
            </c:strRef>
          </c:tx>
          <c:spPr>
            <a:solidFill>
              <a:schemeClr val="accent1"/>
            </a:solidFill>
            <a:ln w="25400">
              <a:noFill/>
            </a:ln>
            <a:effectLst/>
          </c:spPr>
          <c:cat>
            <c:strRef>
              <c:f>charts!$AK$4:$AK$24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charts!$AL$4:$AL$24</c:f>
              <c:numCache>
                <c:formatCode>_(* #,##0_);_(* \(#,##0\);_(* "-"??_);_(@_)</c:formatCode>
                <c:ptCount val="20"/>
                <c:pt idx="0">
                  <c:v>20259000000</c:v>
                </c:pt>
                <c:pt idx="1">
                  <c:v>22060000000</c:v>
                </c:pt>
                <c:pt idx="2">
                  <c:v>21514000000</c:v>
                </c:pt>
                <c:pt idx="3">
                  <c:v>19269000000</c:v>
                </c:pt>
                <c:pt idx="4">
                  <c:v>20208000000</c:v>
                </c:pt>
                <c:pt idx="5">
                  <c:v>21844000000</c:v>
                </c:pt>
                <c:pt idx="6">
                  <c:v>21746000000</c:v>
                </c:pt>
                <c:pt idx="7">
                  <c:v>21630000000</c:v>
                </c:pt>
                <c:pt idx="8">
                  <c:v>21165000000</c:v>
                </c:pt>
                <c:pt idx="9">
                  <c:v>18604000000</c:v>
                </c:pt>
                <c:pt idx="10">
                  <c:v>18952000000</c:v>
                </c:pt>
                <c:pt idx="11">
                  <c:v>17911000000</c:v>
                </c:pt>
                <c:pt idx="12">
                  <c:v>17900000000</c:v>
                </c:pt>
                <c:pt idx="13">
                  <c:v>17215000000</c:v>
                </c:pt>
                <c:pt idx="14">
                  <c:v>20308000000</c:v>
                </c:pt>
                <c:pt idx="15">
                  <c:v>17699000000</c:v>
                </c:pt>
                <c:pt idx="16">
                  <c:v>16103000000</c:v>
                </c:pt>
                <c:pt idx="17">
                  <c:v>17952000000</c:v>
                </c:pt>
                <c:pt idx="18">
                  <c:v>16737000000</c:v>
                </c:pt>
                <c:pt idx="19">
                  <c:v>18285000000</c:v>
                </c:pt>
              </c:numCache>
            </c:numRef>
          </c:val>
          <c:extLst>
            <c:ext xmlns:c16="http://schemas.microsoft.com/office/drawing/2014/chart" uri="{C3380CC4-5D6E-409C-BE32-E72D297353CC}">
              <c16:uniqueId val="{00000000-B0B0-48F4-BA02-724ABE3EEF20}"/>
            </c:ext>
          </c:extLst>
        </c:ser>
        <c:ser>
          <c:idx val="1"/>
          <c:order val="1"/>
          <c:tx>
            <c:strRef>
              <c:f>charts!$AM$3</c:f>
              <c:strCache>
                <c:ptCount val="1"/>
                <c:pt idx="0">
                  <c:v>R&amp;D</c:v>
                </c:pt>
              </c:strCache>
            </c:strRef>
          </c:tx>
          <c:spPr>
            <a:solidFill>
              <a:schemeClr val="accent2"/>
            </a:solidFill>
            <a:ln w="25400">
              <a:noFill/>
            </a:ln>
            <a:effectLst/>
          </c:spPr>
          <c:cat>
            <c:strRef>
              <c:f>charts!$AK$4:$AK$24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charts!$AM$4:$AM$24</c:f>
              <c:numCache>
                <c:formatCode>_(* #,##0_);_(* \(#,##0\);_(* "-"??_);_(@_)</c:formatCode>
                <c:ptCount val="20"/>
                <c:pt idx="0">
                  <c:v>6107000000</c:v>
                </c:pt>
                <c:pt idx="1">
                  <c:v>6153000000</c:v>
                </c:pt>
                <c:pt idx="2">
                  <c:v>6337000000</c:v>
                </c:pt>
                <c:pt idx="3">
                  <c:v>5820000000</c:v>
                </c:pt>
                <c:pt idx="4">
                  <c:v>6026000000</c:v>
                </c:pt>
                <c:pt idx="5">
                  <c:v>6258000000</c:v>
                </c:pt>
                <c:pt idx="6">
                  <c:v>5816000000</c:v>
                </c:pt>
                <c:pt idx="7">
                  <c:v>5743000000</c:v>
                </c:pt>
                <c:pt idx="8">
                  <c:v>5437000000</c:v>
                </c:pt>
                <c:pt idx="9">
                  <c:v>5247000000</c:v>
                </c:pt>
                <c:pt idx="10">
                  <c:v>5726000000</c:v>
                </c:pt>
                <c:pt idx="11">
                  <c:v>5590000000</c:v>
                </c:pt>
                <c:pt idx="12">
                  <c:v>5379000000</c:v>
                </c:pt>
                <c:pt idx="13">
                  <c:v>5910000000</c:v>
                </c:pt>
                <c:pt idx="14">
                  <c:v>6333000000</c:v>
                </c:pt>
                <c:pt idx="15">
                  <c:v>6488000000</c:v>
                </c:pt>
                <c:pt idx="16">
                  <c:v>6567000000</c:v>
                </c:pt>
                <c:pt idx="17">
                  <c:v>6631000000</c:v>
                </c:pt>
                <c:pt idx="18">
                  <c:v>7479000000</c:v>
                </c:pt>
                <c:pt idx="19">
                  <c:v>8320000000</c:v>
                </c:pt>
              </c:numCache>
            </c:numRef>
          </c:val>
          <c:extLst>
            <c:ext xmlns:c16="http://schemas.microsoft.com/office/drawing/2014/chart" uri="{C3380CC4-5D6E-409C-BE32-E72D297353CC}">
              <c16:uniqueId val="{00000001-B0B0-48F4-BA02-724ABE3EEF20}"/>
            </c:ext>
          </c:extLst>
        </c:ser>
        <c:ser>
          <c:idx val="2"/>
          <c:order val="2"/>
          <c:tx>
            <c:strRef>
              <c:f>charts!$AN$3</c:f>
              <c:strCache>
                <c:ptCount val="1"/>
                <c:pt idx="0">
                  <c:v>InterestExpense</c:v>
                </c:pt>
              </c:strCache>
            </c:strRef>
          </c:tx>
          <c:spPr>
            <a:solidFill>
              <a:schemeClr val="accent3"/>
            </a:solidFill>
            <a:ln w="25400">
              <a:noFill/>
            </a:ln>
            <a:effectLst/>
          </c:spPr>
          <c:cat>
            <c:strRef>
              <c:f>charts!$AK$4:$AK$24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charts!$AN$4:$AN$24</c:f>
              <c:numCache>
                <c:formatCode>_(* #,##0_);_(* \(#,##0\);_(* "-"??_);_(@_)</c:formatCode>
                <c:ptCount val="20"/>
                <c:pt idx="0">
                  <c:v>278000000</c:v>
                </c:pt>
                <c:pt idx="1">
                  <c:v>611000000</c:v>
                </c:pt>
                <c:pt idx="2">
                  <c:v>673000000</c:v>
                </c:pt>
                <c:pt idx="3">
                  <c:v>402000000</c:v>
                </c:pt>
                <c:pt idx="4">
                  <c:v>368000000</c:v>
                </c:pt>
                <c:pt idx="5">
                  <c:v>411000000</c:v>
                </c:pt>
                <c:pt idx="6">
                  <c:v>459000000</c:v>
                </c:pt>
                <c:pt idx="7">
                  <c:v>402000000</c:v>
                </c:pt>
                <c:pt idx="8">
                  <c:v>484000000</c:v>
                </c:pt>
                <c:pt idx="9">
                  <c:v>468000000</c:v>
                </c:pt>
                <c:pt idx="10">
                  <c:v>630000000</c:v>
                </c:pt>
                <c:pt idx="11">
                  <c:v>663000000</c:v>
                </c:pt>
                <c:pt idx="12">
                  <c:v>686000000</c:v>
                </c:pt>
                <c:pt idx="13">
                  <c:v>1022000000</c:v>
                </c:pt>
                <c:pt idx="14">
                  <c:v>1288000000</c:v>
                </c:pt>
                <c:pt idx="15">
                  <c:v>1155000000</c:v>
                </c:pt>
                <c:pt idx="16">
                  <c:v>1216000000</c:v>
                </c:pt>
                <c:pt idx="17">
                  <c:v>1607000000</c:v>
                </c:pt>
                <c:pt idx="18">
                  <c:v>1712000000</c:v>
                </c:pt>
                <c:pt idx="19">
                  <c:v>1935000000</c:v>
                </c:pt>
              </c:numCache>
            </c:numRef>
          </c:val>
          <c:extLst>
            <c:ext xmlns:c16="http://schemas.microsoft.com/office/drawing/2014/chart" uri="{C3380CC4-5D6E-409C-BE32-E72D297353CC}">
              <c16:uniqueId val="{00000002-B0B0-48F4-BA02-724ABE3EEF20}"/>
            </c:ext>
          </c:extLst>
        </c:ser>
        <c:dLbls>
          <c:showLegendKey val="0"/>
          <c:showVal val="0"/>
          <c:showCatName val="0"/>
          <c:showSerName val="0"/>
          <c:showPercent val="0"/>
          <c:showBubbleSize val="0"/>
        </c:dLbls>
        <c:axId val="629814720"/>
        <c:axId val="629816160"/>
      </c:areaChart>
      <c:catAx>
        <c:axId val="62981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16160"/>
        <c:crosses val="autoZero"/>
        <c:auto val="1"/>
        <c:lblAlgn val="ctr"/>
        <c:lblOffset val="100"/>
        <c:noMultiLvlLbl val="0"/>
      </c:catAx>
      <c:valAx>
        <c:axId val="62981616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147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statment analysis.xlsx]charts!PivotTable7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Ratio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charts!$AU$3</c:f>
              <c:strCache>
                <c:ptCount val="1"/>
                <c:pt idx="0">
                  <c:v>Expense Ratio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charts!$AU$4</c:f>
              <c:strCache>
                <c:ptCount val="1"/>
                <c:pt idx="0">
                  <c:v>Total</c:v>
                </c:pt>
              </c:strCache>
            </c:strRef>
          </c:cat>
          <c:val>
            <c:numRef>
              <c:f>charts!$AU$4</c:f>
              <c:numCache>
                <c:formatCode>0.00</c:formatCode>
                <c:ptCount val="1"/>
                <c:pt idx="0">
                  <c:v>32.16630673729675</c:v>
                </c:pt>
              </c:numCache>
            </c:numRef>
          </c:val>
          <c:extLst>
            <c:ext xmlns:c16="http://schemas.microsoft.com/office/drawing/2014/chart" uri="{C3380CC4-5D6E-409C-BE32-E72D297353CC}">
              <c16:uniqueId val="{00000000-A326-4B8C-B758-F661B4D99AA8}"/>
            </c:ext>
          </c:extLst>
        </c:ser>
        <c:ser>
          <c:idx val="1"/>
          <c:order val="1"/>
          <c:tx>
            <c:strRef>
              <c:f>charts!$AV$3</c:f>
              <c:strCache>
                <c:ptCount val="1"/>
                <c:pt idx="0">
                  <c:v>SG&amp;A Ratio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charts!$AU$4</c:f>
              <c:strCache>
                <c:ptCount val="1"/>
                <c:pt idx="0">
                  <c:v>Total</c:v>
                </c:pt>
              </c:strCache>
            </c:strRef>
          </c:cat>
          <c:val>
            <c:numRef>
              <c:f>charts!$AV$4</c:f>
              <c:numCache>
                <c:formatCode>0.00</c:formatCode>
                <c:ptCount val="1"/>
                <c:pt idx="0">
                  <c:v>23.445504595152087</c:v>
                </c:pt>
              </c:numCache>
            </c:numRef>
          </c:val>
          <c:extLst>
            <c:ext xmlns:c16="http://schemas.microsoft.com/office/drawing/2014/chart" uri="{C3380CC4-5D6E-409C-BE32-E72D297353CC}">
              <c16:uniqueId val="{00000001-A326-4B8C-B758-F661B4D99AA8}"/>
            </c:ext>
          </c:extLst>
        </c:ser>
        <c:ser>
          <c:idx val="2"/>
          <c:order val="2"/>
          <c:tx>
            <c:strRef>
              <c:f>charts!$AW$3</c:f>
              <c:strCache>
                <c:ptCount val="1"/>
                <c:pt idx="0">
                  <c:v>R&amp;D Ratio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charts!$AU$4</c:f>
              <c:strCache>
                <c:ptCount val="1"/>
                <c:pt idx="0">
                  <c:v>Total</c:v>
                </c:pt>
              </c:strCache>
            </c:strRef>
          </c:cat>
          <c:val>
            <c:numRef>
              <c:f>charts!$AW$4</c:f>
              <c:numCache>
                <c:formatCode>0.00</c:formatCode>
                <c:ptCount val="1"/>
                <c:pt idx="0">
                  <c:v>7.4669405680750716</c:v>
                </c:pt>
              </c:numCache>
            </c:numRef>
          </c:val>
          <c:extLst>
            <c:ext xmlns:c16="http://schemas.microsoft.com/office/drawing/2014/chart" uri="{C3380CC4-5D6E-409C-BE32-E72D297353CC}">
              <c16:uniqueId val="{00000002-A326-4B8C-B758-F661B4D99AA8}"/>
            </c:ext>
          </c:extLst>
        </c:ser>
        <c:dLbls>
          <c:dLblPos val="outEnd"/>
          <c:showLegendKey val="0"/>
          <c:showVal val="1"/>
          <c:showCatName val="0"/>
          <c:showSerName val="0"/>
          <c:showPercent val="0"/>
          <c:showBubbleSize val="0"/>
        </c:dLbls>
        <c:gapWidth val="219"/>
        <c:overlap val="-27"/>
        <c:axId val="637265120"/>
        <c:axId val="1824555584"/>
      </c:barChart>
      <c:catAx>
        <c:axId val="63726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555584"/>
        <c:crosses val="autoZero"/>
        <c:auto val="1"/>
        <c:lblAlgn val="ctr"/>
        <c:lblOffset val="100"/>
        <c:noMultiLvlLbl val="0"/>
      </c:catAx>
      <c:valAx>
        <c:axId val="1824555584"/>
        <c:scaling>
          <c:orientation val="minMax"/>
        </c:scaling>
        <c:delete val="1"/>
        <c:axPos val="l"/>
        <c:numFmt formatCode="0.00" sourceLinked="1"/>
        <c:majorTickMark val="none"/>
        <c:minorTickMark val="none"/>
        <c:tickLblPos val="nextTo"/>
        <c:crossAx val="63726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_xlchart.v2.1</cx:f>
      </cx:strDim>
      <cx:numDim type="val">
        <cx:f dir="row">_xlchart.v2.0</cx:f>
      </cx:numDim>
    </cx:data>
  </cx:chartData>
  <cx:chart>
    <cx:title pos="t" align="ctr" overlay="0"/>
    <cx:plotArea>
      <cx:plotAreaRegion>
        <cx:series layoutId="funnel" uniqueId="{1D9BB10D-5BD6-4800-AC28-3ED5FB126287}">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61</xdr:col>
      <xdr:colOff>2598420</xdr:colOff>
      <xdr:row>13</xdr:row>
      <xdr:rowOff>83820</xdr:rowOff>
    </xdr:from>
    <xdr:to>
      <xdr:col>66</xdr:col>
      <xdr:colOff>441960</xdr:colOff>
      <xdr:row>30</xdr:row>
      <xdr:rowOff>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ECA7288A-E278-1B26-2C10-56680C121A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620660" y="2461260"/>
              <a:ext cx="10911840" cy="30251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22</xdr:col>
      <xdr:colOff>342900</xdr:colOff>
      <xdr:row>2</xdr:row>
      <xdr:rowOff>7620</xdr:rowOff>
    </xdr:to>
    <xdr:sp macro="" textlink="">
      <xdr:nvSpPr>
        <xdr:cNvPr id="3" name="TextBox 2">
          <a:extLst>
            <a:ext uri="{FF2B5EF4-FFF2-40B4-BE49-F238E27FC236}">
              <a16:creationId xmlns:a16="http://schemas.microsoft.com/office/drawing/2014/main" id="{18AFCD3B-82A5-D611-424B-0CB38CC67200}"/>
            </a:ext>
          </a:extLst>
        </xdr:cNvPr>
        <xdr:cNvSpPr txBox="1"/>
      </xdr:nvSpPr>
      <xdr:spPr>
        <a:xfrm>
          <a:off x="0" y="7620"/>
          <a:ext cx="14592300" cy="365760"/>
        </a:xfrm>
        <a:prstGeom prst="rect">
          <a:avLst/>
        </a:prstGeom>
        <a:solidFill>
          <a:srgbClr val="622B1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lumMod val="95000"/>
                </a:schemeClr>
              </a:solidFill>
            </a:rPr>
            <a:t>Income</a:t>
          </a:r>
          <a:r>
            <a:rPr lang="en-US" sz="2000" baseline="0">
              <a:solidFill>
                <a:schemeClr val="bg1">
                  <a:lumMod val="95000"/>
                </a:schemeClr>
              </a:solidFill>
            </a:rPr>
            <a:t> statment for IBM Company</a:t>
          </a:r>
          <a:endParaRPr lang="en-US" sz="2000">
            <a:solidFill>
              <a:schemeClr val="bg1">
                <a:lumMod val="95000"/>
              </a:schemeClr>
            </a:solidFill>
          </a:endParaRPr>
        </a:p>
      </xdr:txBody>
    </xdr:sp>
    <xdr:clientData/>
  </xdr:twoCellAnchor>
  <xdr:twoCellAnchor>
    <xdr:from>
      <xdr:col>3</xdr:col>
      <xdr:colOff>38100</xdr:colOff>
      <xdr:row>2</xdr:row>
      <xdr:rowOff>49530</xdr:rowOff>
    </xdr:from>
    <xdr:to>
      <xdr:col>6</xdr:col>
      <xdr:colOff>7620</xdr:colOff>
      <xdr:row>5</xdr:row>
      <xdr:rowOff>140970</xdr:rowOff>
    </xdr:to>
    <xdr:sp macro="" textlink="charts!F27">
      <xdr:nvSpPr>
        <xdr:cNvPr id="8" name="TextBox 7">
          <a:extLst>
            <a:ext uri="{FF2B5EF4-FFF2-40B4-BE49-F238E27FC236}">
              <a16:creationId xmlns:a16="http://schemas.microsoft.com/office/drawing/2014/main" id="{CDC4E1CD-DB53-CB59-D8DF-047AAB1DF598}"/>
            </a:ext>
          </a:extLst>
        </xdr:cNvPr>
        <xdr:cNvSpPr txBox="1"/>
      </xdr:nvSpPr>
      <xdr:spPr>
        <a:xfrm>
          <a:off x="2705100" y="415290"/>
          <a:ext cx="1798320" cy="640080"/>
        </a:xfrm>
        <a:prstGeom prst="rect">
          <a:avLst/>
        </a:prstGeom>
        <a:solidFill>
          <a:srgbClr val="622B1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2"/>
              </a:solidFill>
              <a:latin typeface="Aptos Narrow"/>
            </a:rPr>
            <a:t>Total Revenue</a:t>
          </a:r>
        </a:p>
        <a:p>
          <a:pPr algn="ctr"/>
          <a:fld id="{2E75A3D9-F603-4110-BDF3-BE2CAD6B258E}" type="TxLink">
            <a:rPr lang="en-US" sz="1600" b="0" i="0" u="none" strike="noStrike">
              <a:solidFill>
                <a:schemeClr val="bg2"/>
              </a:solidFill>
              <a:latin typeface="Aptos Narrow"/>
            </a:rPr>
            <a:pPr algn="ctr"/>
            <a:t> 1,652,176,000,000 </a:t>
          </a:fld>
          <a:endParaRPr lang="en-US" sz="1600">
            <a:solidFill>
              <a:schemeClr val="bg2"/>
            </a:solidFill>
          </a:endParaRPr>
        </a:p>
      </xdr:txBody>
    </xdr:sp>
    <xdr:clientData/>
  </xdr:twoCellAnchor>
  <xdr:twoCellAnchor>
    <xdr:from>
      <xdr:col>6</xdr:col>
      <xdr:colOff>194310</xdr:colOff>
      <xdr:row>2</xdr:row>
      <xdr:rowOff>53340</xdr:rowOff>
    </xdr:from>
    <xdr:to>
      <xdr:col>9</xdr:col>
      <xdr:colOff>163830</xdr:colOff>
      <xdr:row>5</xdr:row>
      <xdr:rowOff>144780</xdr:rowOff>
    </xdr:to>
    <xdr:sp macro="" textlink="charts!E22">
      <xdr:nvSpPr>
        <xdr:cNvPr id="9" name="TextBox 8">
          <a:extLst>
            <a:ext uri="{FF2B5EF4-FFF2-40B4-BE49-F238E27FC236}">
              <a16:creationId xmlns:a16="http://schemas.microsoft.com/office/drawing/2014/main" id="{8AA153A6-CDE7-432D-AD22-BD872EB69F97}"/>
            </a:ext>
          </a:extLst>
        </xdr:cNvPr>
        <xdr:cNvSpPr txBox="1"/>
      </xdr:nvSpPr>
      <xdr:spPr>
        <a:xfrm>
          <a:off x="4690110" y="419100"/>
          <a:ext cx="1798320" cy="640080"/>
        </a:xfrm>
        <a:prstGeom prst="rect">
          <a:avLst/>
        </a:prstGeom>
        <a:solidFill>
          <a:srgbClr val="622B1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2"/>
              </a:solidFill>
              <a:latin typeface="Aptos Narrow"/>
            </a:rPr>
            <a:t>Revenue LY</a:t>
          </a:r>
        </a:p>
        <a:p>
          <a:pPr algn="ctr"/>
          <a:fld id="{0BDCDC11-B35B-4D88-9AC4-2E7B1461EC41}" type="TxLink">
            <a:rPr lang="en-US" sz="1600" b="0" i="0" u="none" strike="noStrike">
              <a:solidFill>
                <a:schemeClr val="bg2"/>
              </a:solidFill>
              <a:latin typeface="Aptos Narrow"/>
            </a:rPr>
            <a:pPr algn="ctr"/>
            <a:t> 1,584,641,000,000 </a:t>
          </a:fld>
          <a:endParaRPr lang="en-US" sz="1600">
            <a:solidFill>
              <a:schemeClr val="bg2"/>
            </a:solidFill>
          </a:endParaRPr>
        </a:p>
      </xdr:txBody>
    </xdr:sp>
    <xdr:clientData/>
  </xdr:twoCellAnchor>
  <xdr:twoCellAnchor>
    <xdr:from>
      <xdr:col>9</xdr:col>
      <xdr:colOff>350520</xdr:colOff>
      <xdr:row>2</xdr:row>
      <xdr:rowOff>57150</xdr:rowOff>
    </xdr:from>
    <xdr:to>
      <xdr:col>12</xdr:col>
      <xdr:colOff>320040</xdr:colOff>
      <xdr:row>5</xdr:row>
      <xdr:rowOff>148590</xdr:rowOff>
    </xdr:to>
    <xdr:sp macro="" textlink="charts!C21">
      <xdr:nvSpPr>
        <xdr:cNvPr id="10" name="TextBox 9">
          <a:extLst>
            <a:ext uri="{FF2B5EF4-FFF2-40B4-BE49-F238E27FC236}">
              <a16:creationId xmlns:a16="http://schemas.microsoft.com/office/drawing/2014/main" id="{3F51EC06-80B2-489F-B08C-A5B8AB44546C}"/>
            </a:ext>
          </a:extLst>
        </xdr:cNvPr>
        <xdr:cNvSpPr txBox="1"/>
      </xdr:nvSpPr>
      <xdr:spPr>
        <a:xfrm>
          <a:off x="6675120" y="422910"/>
          <a:ext cx="1798320" cy="640080"/>
        </a:xfrm>
        <a:prstGeom prst="rect">
          <a:avLst/>
        </a:prstGeom>
        <a:solidFill>
          <a:srgbClr val="622B1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2"/>
              </a:solidFill>
              <a:latin typeface="Aptos Narrow"/>
            </a:rPr>
            <a:t>Gross</a:t>
          </a:r>
          <a:r>
            <a:rPr lang="en-US" sz="1600" b="0" i="0" u="none" strike="noStrike" baseline="0">
              <a:solidFill>
                <a:schemeClr val="bg2"/>
              </a:solidFill>
              <a:latin typeface="Aptos Narrow"/>
            </a:rPr>
            <a:t> Margin</a:t>
          </a:r>
          <a:endParaRPr lang="en-US" sz="1600" b="0" i="0" u="none" strike="noStrike">
            <a:solidFill>
              <a:schemeClr val="bg2"/>
            </a:solidFill>
            <a:latin typeface="Aptos Narrow"/>
          </a:endParaRPr>
        </a:p>
        <a:p>
          <a:pPr algn="ctr"/>
          <a:fld id="{64D3BE7C-EB7D-435C-96EF-B41E7984E8E0}" type="TxLink">
            <a:rPr lang="en-US" sz="1600" b="0" i="0" u="none" strike="noStrike">
              <a:solidFill>
                <a:schemeClr val="bg2"/>
              </a:solidFill>
              <a:latin typeface="Aptos Narrow"/>
            </a:rPr>
            <a:pPr algn="ctr"/>
            <a:t>49</a:t>
          </a:fld>
          <a:endParaRPr lang="en-US" sz="1600">
            <a:solidFill>
              <a:schemeClr val="bg2"/>
            </a:solidFill>
          </a:endParaRPr>
        </a:p>
      </xdr:txBody>
    </xdr:sp>
    <xdr:clientData/>
  </xdr:twoCellAnchor>
  <xdr:twoCellAnchor>
    <xdr:from>
      <xdr:col>12</xdr:col>
      <xdr:colOff>506730</xdr:colOff>
      <xdr:row>2</xdr:row>
      <xdr:rowOff>60960</xdr:rowOff>
    </xdr:from>
    <xdr:to>
      <xdr:col>15</xdr:col>
      <xdr:colOff>476250</xdr:colOff>
      <xdr:row>5</xdr:row>
      <xdr:rowOff>152400</xdr:rowOff>
    </xdr:to>
    <xdr:sp macro="" textlink="charts!M17">
      <xdr:nvSpPr>
        <xdr:cNvPr id="11" name="TextBox 10">
          <a:extLst>
            <a:ext uri="{FF2B5EF4-FFF2-40B4-BE49-F238E27FC236}">
              <a16:creationId xmlns:a16="http://schemas.microsoft.com/office/drawing/2014/main" id="{0F128458-00D2-49F8-93E6-EF3322BEECDC}"/>
            </a:ext>
          </a:extLst>
        </xdr:cNvPr>
        <xdr:cNvSpPr txBox="1"/>
      </xdr:nvSpPr>
      <xdr:spPr>
        <a:xfrm>
          <a:off x="8660130" y="426720"/>
          <a:ext cx="1798320" cy="640080"/>
        </a:xfrm>
        <a:prstGeom prst="rect">
          <a:avLst/>
        </a:prstGeom>
        <a:solidFill>
          <a:srgbClr val="622B1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solidFill>
            </a:rPr>
            <a:t>EBITDA Margin</a:t>
          </a:r>
          <a:endParaRPr lang="en-US" sz="1600" b="0" i="0" u="none" strike="noStrike">
            <a:solidFill>
              <a:schemeClr val="bg2"/>
            </a:solidFill>
            <a:latin typeface="Aptos Narrow"/>
          </a:endParaRPr>
        </a:p>
        <a:p>
          <a:pPr algn="ctr"/>
          <a:fld id="{BABEBC7E-EAD2-4781-A838-0AF13696D85F}" type="TxLink">
            <a:rPr lang="en-US" sz="1600" b="0" i="0" u="none" strike="noStrike">
              <a:solidFill>
                <a:schemeClr val="bg2"/>
              </a:solidFill>
              <a:latin typeface="Aptos Narrow"/>
            </a:rPr>
            <a:pPr algn="ctr"/>
            <a:t>22</a:t>
          </a:fld>
          <a:endParaRPr lang="en-US" sz="1600" b="0" i="0" u="none" strike="noStrike">
            <a:solidFill>
              <a:schemeClr val="bg2"/>
            </a:solidFill>
            <a:latin typeface="Aptos Narrow"/>
          </a:endParaRPr>
        </a:p>
      </xdr:txBody>
    </xdr:sp>
    <xdr:clientData/>
  </xdr:twoCellAnchor>
  <xdr:twoCellAnchor>
    <xdr:from>
      <xdr:col>16</xdr:col>
      <xdr:colOff>53340</xdr:colOff>
      <xdr:row>2</xdr:row>
      <xdr:rowOff>45720</xdr:rowOff>
    </xdr:from>
    <xdr:to>
      <xdr:col>19</xdr:col>
      <xdr:colOff>22860</xdr:colOff>
      <xdr:row>5</xdr:row>
      <xdr:rowOff>137160</xdr:rowOff>
    </xdr:to>
    <xdr:sp macro="" textlink="charts!N17">
      <xdr:nvSpPr>
        <xdr:cNvPr id="12" name="TextBox 11">
          <a:extLst>
            <a:ext uri="{FF2B5EF4-FFF2-40B4-BE49-F238E27FC236}">
              <a16:creationId xmlns:a16="http://schemas.microsoft.com/office/drawing/2014/main" id="{B3352FCC-B8F2-4984-BD0F-06B06B3AB061}"/>
            </a:ext>
          </a:extLst>
        </xdr:cNvPr>
        <xdr:cNvSpPr txBox="1"/>
      </xdr:nvSpPr>
      <xdr:spPr>
        <a:xfrm>
          <a:off x="10645140" y="411480"/>
          <a:ext cx="1798320" cy="640080"/>
        </a:xfrm>
        <a:prstGeom prst="rect">
          <a:avLst/>
        </a:prstGeom>
        <a:solidFill>
          <a:srgbClr val="622B1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solidFill>
            </a:rPr>
            <a:t>Net Margin</a:t>
          </a:r>
          <a:endParaRPr lang="en-US" sz="1600" b="0" i="0" u="none" strike="noStrike">
            <a:solidFill>
              <a:schemeClr val="bg2"/>
            </a:solidFill>
            <a:latin typeface="Aptos Narrow"/>
          </a:endParaRPr>
        </a:p>
        <a:p>
          <a:pPr algn="ctr"/>
          <a:fld id="{00F23165-6043-4EAC-85EE-26A49E691FA1}" type="TxLink">
            <a:rPr lang="en-US" sz="1600" b="0" i="0" u="none" strike="noStrike">
              <a:solidFill>
                <a:schemeClr val="bg2"/>
              </a:solidFill>
              <a:latin typeface="Aptos Narrow"/>
            </a:rPr>
            <a:pPr algn="ctr"/>
            <a:t>13</a:t>
          </a:fld>
          <a:endParaRPr lang="en-US" sz="1600" b="0" i="0" u="none" strike="noStrike">
            <a:solidFill>
              <a:schemeClr val="bg2"/>
            </a:solidFill>
            <a:latin typeface="Aptos Narrow"/>
          </a:endParaRPr>
        </a:p>
      </xdr:txBody>
    </xdr:sp>
    <xdr:clientData/>
  </xdr:twoCellAnchor>
  <xdr:twoCellAnchor>
    <xdr:from>
      <xdr:col>0</xdr:col>
      <xdr:colOff>30480</xdr:colOff>
      <xdr:row>19</xdr:row>
      <xdr:rowOff>114300</xdr:rowOff>
    </xdr:from>
    <xdr:to>
      <xdr:col>9</xdr:col>
      <xdr:colOff>236220</xdr:colOff>
      <xdr:row>30</xdr:row>
      <xdr:rowOff>140074</xdr:rowOff>
    </xdr:to>
    <xdr:graphicFrame macro="">
      <xdr:nvGraphicFramePr>
        <xdr:cNvPr id="13" name="Chart 12">
          <a:extLst>
            <a:ext uri="{FF2B5EF4-FFF2-40B4-BE49-F238E27FC236}">
              <a16:creationId xmlns:a16="http://schemas.microsoft.com/office/drawing/2014/main" id="{B2545860-4CB0-4077-87C1-DAC2E1A25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487680</xdr:colOff>
      <xdr:row>6</xdr:row>
      <xdr:rowOff>129540</xdr:rowOff>
    </xdr:from>
    <xdr:to>
      <xdr:col>22</xdr:col>
      <xdr:colOff>91440</xdr:colOff>
      <xdr:row>19</xdr:row>
      <xdr:rowOff>68580</xdr:rowOff>
    </xdr:to>
    <mc:AlternateContent xmlns:mc="http://schemas.openxmlformats.org/markup-compatibility/2006" xmlns:a14="http://schemas.microsoft.com/office/drawing/2010/main">
      <mc:Choice Requires="a14">
        <xdr:graphicFrame macro="">
          <xdr:nvGraphicFramePr>
            <xdr:cNvPr id="14" name="date">
              <a:extLst>
                <a:ext uri="{FF2B5EF4-FFF2-40B4-BE49-F238E27FC236}">
                  <a16:creationId xmlns:a16="http://schemas.microsoft.com/office/drawing/2014/main" id="{FDF88D1B-9A33-47AE-B2A7-2FF1B13BCBA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2298680" y="807720"/>
              <a:ext cx="1828800" cy="236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335280</xdr:colOff>
      <xdr:row>19</xdr:row>
      <xdr:rowOff>114300</xdr:rowOff>
    </xdr:from>
    <xdr:to>
      <xdr:col>21</xdr:col>
      <xdr:colOff>495300</xdr:colOff>
      <xdr:row>30</xdr:row>
      <xdr:rowOff>121920</xdr:rowOff>
    </xdr:to>
    <xdr:graphicFrame macro="">
      <xdr:nvGraphicFramePr>
        <xdr:cNvPr id="15" name="Chart 14">
          <a:extLst>
            <a:ext uri="{FF2B5EF4-FFF2-40B4-BE49-F238E27FC236}">
              <a16:creationId xmlns:a16="http://schemas.microsoft.com/office/drawing/2014/main" id="{E34BD616-1B4C-4E90-B6A5-4CFE15F06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6</xdr:row>
      <xdr:rowOff>91440</xdr:rowOff>
    </xdr:from>
    <xdr:to>
      <xdr:col>3</xdr:col>
      <xdr:colOff>22860</xdr:colOff>
      <xdr:row>18</xdr:row>
      <xdr:rowOff>152400</xdr:rowOff>
    </xdr:to>
    <xdr:graphicFrame macro="">
      <xdr:nvGraphicFramePr>
        <xdr:cNvPr id="17" name="Chart 16">
          <a:extLst>
            <a:ext uri="{FF2B5EF4-FFF2-40B4-BE49-F238E27FC236}">
              <a16:creationId xmlns:a16="http://schemas.microsoft.com/office/drawing/2014/main" id="{95391DED-A20A-4BE6-9D27-39996D7FF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99060</xdr:colOff>
      <xdr:row>6</xdr:row>
      <xdr:rowOff>114300</xdr:rowOff>
    </xdr:from>
    <xdr:to>
      <xdr:col>8</xdr:col>
      <xdr:colOff>144780</xdr:colOff>
      <xdr:row>18</xdr:row>
      <xdr:rowOff>152400</xdr:rowOff>
    </xdr:to>
    <xdr:graphicFrame macro="">
      <xdr:nvGraphicFramePr>
        <xdr:cNvPr id="18" name="Chart 17">
          <a:extLst>
            <a:ext uri="{FF2B5EF4-FFF2-40B4-BE49-F238E27FC236}">
              <a16:creationId xmlns:a16="http://schemas.microsoft.com/office/drawing/2014/main" id="{BA955B78-E7CB-44AA-963A-842E72EC0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220980</xdr:colOff>
      <xdr:row>6</xdr:row>
      <xdr:rowOff>129540</xdr:rowOff>
    </xdr:from>
    <xdr:to>
      <xdr:col>15</xdr:col>
      <xdr:colOff>30480</xdr:colOff>
      <xdr:row>18</xdr:row>
      <xdr:rowOff>129541</xdr:rowOff>
    </xdr:to>
    <xdr:graphicFrame macro="">
      <xdr:nvGraphicFramePr>
        <xdr:cNvPr id="19" name="Chart 18">
          <a:extLst>
            <a:ext uri="{FF2B5EF4-FFF2-40B4-BE49-F238E27FC236}">
              <a16:creationId xmlns:a16="http://schemas.microsoft.com/office/drawing/2014/main" id="{4C894BAE-0C40-4141-8B61-3411578EA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99060</xdr:colOff>
      <xdr:row>6</xdr:row>
      <xdr:rowOff>137160</xdr:rowOff>
    </xdr:from>
    <xdr:to>
      <xdr:col>18</xdr:col>
      <xdr:colOff>389965</xdr:colOff>
      <xdr:row>18</xdr:row>
      <xdr:rowOff>129540</xdr:rowOff>
    </xdr:to>
    <xdr:graphicFrame macro="">
      <xdr:nvGraphicFramePr>
        <xdr:cNvPr id="20" name="Chart 19">
          <a:extLst>
            <a:ext uri="{FF2B5EF4-FFF2-40B4-BE49-F238E27FC236}">
              <a16:creationId xmlns:a16="http://schemas.microsoft.com/office/drawing/2014/main" id="{C5F65CB2-5AB4-4BB1-8CD2-8B6FBF8E6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129540</xdr:rowOff>
    </xdr:from>
    <xdr:to>
      <xdr:col>2</xdr:col>
      <xdr:colOff>563880</xdr:colOff>
      <xdr:row>7</xdr:row>
      <xdr:rowOff>106680</xdr:rowOff>
    </xdr:to>
    <xdr:pic>
      <xdr:nvPicPr>
        <xdr:cNvPr id="22" name="Picture 21">
          <a:extLst>
            <a:ext uri="{FF2B5EF4-FFF2-40B4-BE49-F238E27FC236}">
              <a16:creationId xmlns:a16="http://schemas.microsoft.com/office/drawing/2014/main" id="{C5A65B96-D439-F36B-7B06-5700EA851C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129540"/>
          <a:ext cx="2621280" cy="12573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4699074" backgroundQuery="1" createdVersion="8" refreshedVersion="8" minRefreshableVersion="3" recordCount="0" supportSubquery="1" supportAdvancedDrill="1" xr:uid="{EE3E4F5A-D9E0-44EB-817C-EC30900E8CA6}">
  <cacheSource type="external" connectionId="2"/>
  <cacheFields count="3">
    <cacheField name="[Table2].[year].[year]" caption="year" numFmtId="0" hierarchy="20" level="1">
      <sharedItems containsSemiMixedTypes="0" containsNonDate="0" containsString="0"/>
    </cacheField>
    <cacheField name="[Measures].[Gross Mrgin]" caption="Gross Mrgin" numFmtId="0" hierarchy="66" level="32767"/>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2"/>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oneField="1">
      <fieldsUsage count="1">
        <fieldUsage x="1"/>
      </fieldsUsage>
    </cacheHierarchy>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4930558" backgroundQuery="1" createdVersion="8" refreshedVersion="8" minRefreshableVersion="3" recordCount="0" supportSubquery="1" supportAdvancedDrill="1" xr:uid="{F49A395A-7E82-4C30-BDA3-5338FD0F1F07}">
  <cacheSource type="external" connectionId="2"/>
  <cacheFields count="3">
    <cacheField name="[Table2].[year].[year]" caption="year" numFmtId="0" hierarchy="20" level="1">
      <sharedItems containsSemiMixedTypes="0" containsNonDate="0" containsString="0"/>
    </cacheField>
    <cacheField name="[Measures].[Revenue LY]" caption="Revenue LY" numFmtId="0" hierarchy="75" level="32767"/>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2"/>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oneField="1">
      <fieldsUsage count="1">
        <fieldUsage x="1"/>
      </fieldsUsage>
    </cacheHierarchy>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5277774" backgroundQuery="1" createdVersion="8" refreshedVersion="8" minRefreshableVersion="3" recordCount="0" supportSubquery="1" supportAdvancedDrill="1" xr:uid="{E7EF7E48-E487-4349-A9BC-33F929D01F92}">
  <cacheSource type="external" connectionId="2"/>
  <cacheFields count="3">
    <cacheField name="[Table2].[year].[year]" caption="year" numFmtId="0" hierarchy="20" level="1">
      <sharedItems containsSemiMixedTypes="0" containsNonDate="0" containsString="0"/>
    </cacheField>
    <cacheField name="[Measures].[Total Revenue]" caption="Total Revenue" numFmtId="0" hierarchy="64" level="32767"/>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2"/>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oneField="1">
      <fieldsUsage count="1">
        <fieldUsage x="1"/>
      </fieldsUsage>
    </cacheHierarchy>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5624998" backgroundQuery="1" createdVersion="8" refreshedVersion="8" minRefreshableVersion="3" recordCount="0" supportSubquery="1" supportAdvancedDrill="1" xr:uid="{8B5515C4-7FCF-4E94-86E6-004AB1E3F712}">
  <cacheSource type="external" connectionId="2"/>
  <cacheFields count="6">
    <cacheField name="[Table2].[fiscalDateEnding].[fiscalDateEnding]" caption="fiscalDateEnding" numFmtId="0" level="1">
      <sharedItems containsSemiMixedTypes="0" containsNonDate="0" containsString="0"/>
    </cacheField>
    <cacheField name="[tbl_financials].[fiscalDateEnding].[fiscalDateEnding]" caption="fiscalDateEnding" numFmtId="0" hierarchy="25" level="1">
      <sharedItems containsSemiMixedTypes="0" containsNonDate="0" containsString="0"/>
    </cacheField>
    <cacheField name="[Table2].[year].[year]" caption="year" numFmtId="0" hierarchy="20" level="1">
      <sharedItems containsSemiMixedTypes="0" containsString="0" containsNumber="1" containsInteger="1" minValue="2008" maxValue="2008" count="1">
        <n v="2008"/>
      </sharedItems>
      <extLst>
        <ext xmlns:x15="http://schemas.microsoft.com/office/spreadsheetml/2010/11/main" uri="{4F2E5C28-24EA-4eb8-9CBF-B6C8F9C3D259}">
          <x15:cachedUniqueNames>
            <x15:cachedUniqueName index="0" name="[Table2].[year].&amp;[2008]"/>
          </x15:cachedUniqueNames>
        </ext>
      </extLst>
    </cacheField>
    <cacheField name="[Measures].[Total Revenue]" caption="Total Revenue" numFmtId="0" hierarchy="64" level="32767"/>
    <cacheField name="[Table2].[date (Year)].[date (Year)]" caption="date (Year)" numFmtId="0" hierarchy="22" level="1">
      <sharedItems count="20">
        <s v="2006"/>
        <s v="2007"/>
        <s v="2008"/>
        <s v="2009"/>
        <s v="2010"/>
        <s v="2011"/>
        <s v="2012"/>
        <s v="2013"/>
        <s v="2014"/>
        <s v="2015"/>
        <s v="2016"/>
        <s v="2017"/>
        <s v="2018"/>
        <s v="2019"/>
        <s v="2020"/>
        <s v="2021"/>
        <s v="2022"/>
        <s v="2023"/>
        <s v="2024"/>
        <s v="2025"/>
      </sharedItems>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2" memberValueDatatype="20" unbalanced="0">
      <fieldsUsage count="2">
        <fieldUsage x="-1"/>
        <fieldUsage x="0"/>
      </fieldsUsage>
    </cacheHierarchy>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2"/>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5"/>
      </fieldsUsage>
    </cacheHierarchy>
    <cacheHierarchy uniqueName="[Table2].[date (Year)]" caption="date (Year)" attribute="1" defaultMemberUniqueName="[Table2].[date (Year)].[All]" allUniqueName="[Table2].[date (Year)].[All]" dimensionUniqueName="[Table2]" displayFolder="" count="2" memberValueDatatype="130" unbalanced="0">
      <fieldsUsage count="2">
        <fieldUsage x="-1"/>
        <fieldUsage x="4"/>
      </fieldsUsage>
    </cacheHierarchy>
    <cacheHierarchy uniqueName="[Table2].[date (Quarter)]" caption="date (Quarter)" attribute="1" defaultMemberUniqueName="[Table2].[date (Quarter)].[All]" allUniqueName="[Table2].[date (Quarter)].[All]" dimensionUniqueName="[Table2]"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2" memberValueDatatype="7" unbalanced="0">
      <fieldsUsage count="2">
        <fieldUsage x="-1"/>
        <fieldUsage x="1"/>
      </fieldsUsage>
    </cacheHierarchy>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oneField="1">
      <fieldsUsage count="1">
        <fieldUsage x="3"/>
      </fieldsUsage>
    </cacheHierarchy>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6203706" backgroundQuery="1" createdVersion="8" refreshedVersion="8" minRefreshableVersion="3" recordCount="0" supportSubquery="1" supportAdvancedDrill="1" xr:uid="{C16CCD82-41CA-42FF-9397-ED43D177FFB6}">
  <cacheSource type="external" connectionId="2"/>
  <cacheFields count="6">
    <cacheField name="[Measures].[EBITDA Margin]" caption="EBITDA Margin" numFmtId="0" hierarchy="69" level="32767"/>
    <cacheField name="[Measures].[Net Margin]" caption="Net Margin" numFmtId="0" hierarchy="68" level="32767"/>
    <cacheField name="[Measures].[Operating Margin]" caption="Operating Margin" numFmtId="0" hierarchy="67" level="32767"/>
    <cacheField name="[Measures].[Gross Mrgin]" caption="Gross Mrgin" numFmtId="0" hierarchy="66" level="32767"/>
    <cacheField name="[Table2].[year].[year]" caption="year" numFmtId="0" hierarchy="20" level="1">
      <sharedItems containsSemiMixedTypes="0" containsNonDate="0" containsString="0"/>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4"/>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5"/>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oneField="1">
      <fieldsUsage count="1">
        <fieldUsage x="3"/>
      </fieldsUsage>
    </cacheHierarchy>
    <cacheHierarchy uniqueName="[Measures].[Operating Margin]" caption="Operating Margin" measure="1" displayFolder="" measureGroup="Table2" count="0" oneField="1">
      <fieldsUsage count="1">
        <fieldUsage x="2"/>
      </fieldsUsage>
    </cacheHierarchy>
    <cacheHierarchy uniqueName="[Measures].[Net Margin]" caption="Net Margin" measure="1" displayFolder="" measureGroup="Table2" count="0" oneField="1">
      <fieldsUsage count="1">
        <fieldUsage x="1"/>
      </fieldsUsage>
    </cacheHierarchy>
    <cacheHierarchy uniqueName="[Measures].[EBITDA Margin]" caption="EBITDA Margin" measure="1" displayFolder="" measureGroup="Table2" count="0" oneField="1">
      <fieldsUsage count="1">
        <fieldUsage x="0"/>
      </fieldsUsage>
    </cacheHierarchy>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6666667" backgroundQuery="1" createdVersion="8" refreshedVersion="8" minRefreshableVersion="3" recordCount="0" supportSubquery="1" supportAdvancedDrill="1" xr:uid="{EE86D1E1-7FDF-461E-B947-A151752B4A03}">
  <cacheSource type="external" connectionId="2"/>
  <cacheFields count="5">
    <cacheField name="[Measures].[Sum of ebitda]" caption="Sum of ebitda" numFmtId="0" hierarchy="55" level="32767"/>
    <cacheField name="[Measures].[Sum of netIncome]" caption="Sum of netIncome" numFmtId="0" hierarchy="56" level="32767"/>
    <cacheField name="[Table2].[year].[year]" caption="year" numFmtId="0" hierarchy="20" level="1">
      <sharedItems containsSemiMixedTypes="0" containsString="0" containsNumber="1" containsInteger="1" minValue="2008" maxValue="2008" count="1">
        <n v="2008"/>
      </sharedItems>
      <extLst>
        <ext xmlns:x15="http://schemas.microsoft.com/office/spreadsheetml/2010/11/main" uri="{4F2E5C28-24EA-4eb8-9CBF-B6C8F9C3D259}">
          <x15:cachedUniqueNames>
            <x15:cachedUniqueName index="0" name="[Table2].[year].&amp;[2008]"/>
          </x15:cachedUniqueNames>
        </ext>
      </extLst>
    </cacheField>
    <cacheField name="[Table2].[date (Year)].[date (Year)]" caption="date (Year)" numFmtId="0" hierarchy="22" level="1">
      <sharedItems count="20">
        <s v="2006"/>
        <s v="2007"/>
        <s v="2008"/>
        <s v="2009"/>
        <s v="2010"/>
        <s v="2011"/>
        <s v="2012"/>
        <s v="2013"/>
        <s v="2014"/>
        <s v="2015"/>
        <s v="2016"/>
        <s v="2017"/>
        <s v="2018"/>
        <s v="2019"/>
        <s v="2020"/>
        <s v="2021"/>
        <s v="2022"/>
        <s v="2023"/>
        <s v="2024"/>
        <s v="2025"/>
      </sharedItems>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2"/>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4"/>
      </fieldsUsage>
    </cacheHierarchy>
    <cacheHierarchy uniqueName="[Table2].[date (Year)]" caption="date (Year)" attribute="1" defaultMemberUniqueName="[Table2].[date (Year)].[All]" allUniqueName="[Table2].[date (Year)].[All]" dimensionUniqueName="[Table2]" displayFolder="" count="2" memberValueDatatype="130" unbalanced="0">
      <fieldsUsage count="2">
        <fieldUsage x="-1"/>
        <fieldUsage x="3"/>
      </fieldsUsage>
    </cacheHierarchy>
    <cacheHierarchy uniqueName="[Table2].[date (Quarter)]" caption="date (Quarter)" attribute="1" defaultMemberUniqueName="[Table2].[date (Quarter)].[All]" allUniqueName="[Table2].[date (Quarter)].[All]" dimensionUniqueName="[Table2]"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oneField="1">
      <fieldsUsage count="1">
        <fieldUsage x="0"/>
      </fieldsUsage>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oneField="1">
      <fieldsUsage count="1">
        <fieldUsage x="1"/>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7245368" backgroundQuery="1" createdVersion="8" refreshedVersion="8" minRefreshableVersion="3" recordCount="0" supportSubquery="1" supportAdvancedDrill="1" xr:uid="{E1FBBD46-6EE6-46B8-924D-F93DBFB9C87A}">
  <cacheSource type="external" connectionId="2"/>
  <cacheFields count="8">
    <cacheField name="[Measures].[Sum of costofGoodsAndServicesSold]" caption="Sum of costofGoodsAndServicesSold" numFmtId="0" hierarchy="58" level="32767"/>
    <cacheField name="[Measures].[Sum of sellingGeneralAndAdministrative]" caption="Sum of sellingGeneralAndAdministrative" numFmtId="0" hierarchy="59" level="32767"/>
    <cacheField name="[Measures].[Sum of researchAndDevelopment]" caption="Sum of researchAndDevelopment" numFmtId="0" hierarchy="60" level="32767"/>
    <cacheField name="[Measures].[Sum of interestExpense]" caption="Sum of interestExpense" numFmtId="0" hierarchy="51" level="32767"/>
    <cacheField name="[Measures].[Sum of incomeTaxExpense]" caption="Sum of incomeTaxExpense" numFmtId="0" hierarchy="52" level="32767"/>
    <cacheField name="[Measures].[Sum of depreciationAndAmortization]" caption="Sum of depreciationAndAmortization" numFmtId="0" hierarchy="61" level="32767"/>
    <cacheField name="[Table2].[year].[year]" caption="year" numFmtId="0" hierarchy="20" level="1">
      <sharedItems containsSemiMixedTypes="0" containsNonDate="0" containsString="0"/>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6"/>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7"/>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oneField="1">
      <fieldsUsage count="1">
        <fieldUsage x="3"/>
      </fieldsUsage>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oneField="1">
      <fieldsUsage count="1">
        <fieldUsage x="4"/>
      </fieldsUsage>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oneField="1">
      <fieldsUsage count="1">
        <fieldUsage x="0"/>
      </fieldsUsage>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oneField="1">
      <fieldsUsage count="1">
        <fieldUsage x="1"/>
      </fieldsUsage>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oneField="1">
      <fieldsUsage count="1">
        <fieldUsage x="2"/>
      </fieldsUsage>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oneField="1">
      <fieldsUsage count="1">
        <fieldUsage x="5"/>
      </fieldsUsage>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7824076" backgroundQuery="1" createdVersion="8" refreshedVersion="8" minRefreshableVersion="3" recordCount="0" supportSubquery="1" supportAdvancedDrill="1" xr:uid="{88BFD59C-1F2D-44B9-AC25-179C6F4511A1}">
  <cacheSource type="external" connectionId="2"/>
  <cacheFields count="6">
    <cacheField name="[Measures].[Sum of sellingGeneralAndAdministrative]" caption="Sum of sellingGeneralAndAdministrative" numFmtId="0" hierarchy="59" level="32767"/>
    <cacheField name="[Measures].[Sum of researchAndDevelopment]" caption="Sum of researchAndDevelopment" numFmtId="0" hierarchy="60" level="32767"/>
    <cacheField name="[Measures].[Sum of interestExpense]" caption="Sum of interestExpense" numFmtId="0" hierarchy="51" level="32767"/>
    <cacheField name="[Table2].[year].[year]" caption="year" numFmtId="0" hierarchy="20" level="1">
      <sharedItems containsSemiMixedTypes="0" containsString="0" containsNumber="1" containsInteger="1" minValue="2008" maxValue="2008" count="1">
        <n v="2008"/>
      </sharedItems>
      <extLst>
        <ext xmlns:x15="http://schemas.microsoft.com/office/spreadsheetml/2010/11/main" uri="{4F2E5C28-24EA-4eb8-9CBF-B6C8F9C3D259}">
          <x15:cachedUniqueNames>
            <x15:cachedUniqueName index="0" name="[Table2].[year].&amp;[2008]"/>
          </x15:cachedUniqueNames>
        </ext>
      </extLst>
    </cacheField>
    <cacheField name="[Table2].[date (Year)].[date (Year)]" caption="date (Year)" numFmtId="0" hierarchy="22" level="1">
      <sharedItems count="20">
        <s v="2006"/>
        <s v="2007"/>
        <s v="2008"/>
        <s v="2009"/>
        <s v="2010"/>
        <s v="2011"/>
        <s v="2012"/>
        <s v="2013"/>
        <s v="2014"/>
        <s v="2015"/>
        <s v="2016"/>
        <s v="2017"/>
        <s v="2018"/>
        <s v="2019"/>
        <s v="2020"/>
        <s v="2021"/>
        <s v="2022"/>
        <s v="2023"/>
        <s v="2024"/>
        <s v="2025"/>
      </sharedItems>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3"/>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5"/>
      </fieldsUsage>
    </cacheHierarchy>
    <cacheHierarchy uniqueName="[Table2].[date (Year)]" caption="date (Year)" attribute="1" defaultMemberUniqueName="[Table2].[date (Year)].[All]" allUniqueName="[Table2].[date (Year)].[All]" dimensionUniqueName="[Table2]" displayFolder="" count="2" memberValueDatatype="130" unbalanced="0">
      <fieldsUsage count="2">
        <fieldUsage x="-1"/>
        <fieldUsage x="4"/>
      </fieldsUsage>
    </cacheHierarchy>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oneField="1">
      <fieldsUsage count="1">
        <fieldUsage x="2"/>
      </fieldsUsage>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oneField="1">
      <fieldsUsage count="1">
        <fieldUsage x="0"/>
      </fieldsUsage>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oneField="1">
      <fieldsUsage count="1">
        <fieldUsage x="1"/>
      </fieldsUsage>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8287038" backgroundQuery="1" createdVersion="8" refreshedVersion="8" minRefreshableVersion="3" recordCount="0" supportSubquery="1" supportAdvancedDrill="1" xr:uid="{C75B3E24-0AA7-4D29-825B-DB0F35577A13}">
  <cacheSource type="external" connectionId="2"/>
  <cacheFields count="5">
    <cacheField name="[Measures].[Expense Ratio]" caption="Expense Ratio" numFmtId="0" hierarchy="70" level="32767"/>
    <cacheField name="[Measures].[SG&amp;A Ratio]" caption="SG&amp;A Ratio" numFmtId="0" hierarchy="71" level="32767"/>
    <cacheField name="[Measures].[R&amp;D Ratio]" caption="R&amp;D Ratio" numFmtId="0" hierarchy="72" level="32767"/>
    <cacheField name="[Table2].[year].[year]" caption="year" numFmtId="0" hierarchy="20" level="1">
      <sharedItems containsSemiMixedTypes="0" containsNonDate="0" containsString="0"/>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3"/>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4"/>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oneField="1">
      <fieldsUsage count="1">
        <fieldUsage x="0"/>
      </fieldsUsage>
    </cacheHierarchy>
    <cacheHierarchy uniqueName="[Measures].[SG&amp;A Ratio]" caption="SG&amp;A Ratio" measure="1" displayFolder="" measureGroup="Table2" count="0" oneField="1">
      <fieldsUsage count="1">
        <fieldUsage x="1"/>
      </fieldsUsage>
    </cacheHierarchy>
    <cacheHierarchy uniqueName="[Measures].[R&amp;D Ratio]" caption="R&amp;D Ratio" measure="1" displayFolder="" measureGroup="Table2" count="0" oneField="1">
      <fieldsUsage count="1">
        <fieldUsage x="2"/>
      </fieldsUsage>
    </cacheHierarchy>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8865738" backgroundQuery="1" createdVersion="8" refreshedVersion="8" minRefreshableVersion="3" recordCount="0" supportSubquery="1" supportAdvancedDrill="1" xr:uid="{089E74C7-A48F-4753-BFB7-9D7651ECB1B6}">
  <cacheSource type="external" connectionId="2"/>
  <cacheFields count="4">
    <cacheField name="[Measures].[Operating Margin]" caption="Operating Margin" numFmtId="0" hierarchy="67" level="32767"/>
    <cacheField name="[Measures].[Expense Ratio]" caption="Expense Ratio" numFmtId="0" hierarchy="70" level="32767"/>
    <cacheField name="[Table2].[year].[year]" caption="year" numFmtId="0" hierarchy="20" level="1">
      <sharedItems containsSemiMixedTypes="0" containsNonDate="0" containsString="0"/>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2"/>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3"/>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oneField="1">
      <fieldsUsage count="1">
        <fieldUsage x="0"/>
      </fieldsUsage>
    </cacheHierarchy>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oneField="1">
      <fieldsUsage count="1">
        <fieldUsage x="1"/>
      </fieldsUsage>
    </cacheHierarchy>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58219097223" backgroundQuery="1" createdVersion="8" refreshedVersion="8" minRefreshableVersion="3" recordCount="0" supportSubquery="1" supportAdvancedDrill="1" xr:uid="{C3712930-5547-4EAE-8A19-37AB28579D07}">
  <cacheSource type="external" connectionId="2"/>
  <cacheFields count="3">
    <cacheField name="[Measures].[Sum of netIncomeFromContinuingOperations]" caption="Sum of netIncomeFromContinuingOperations" numFmtId="0" hierarchy="63" level="32767"/>
    <cacheField name="[Table2].[year].[year]" caption="year" numFmtId="0" hierarchy="20" level="1">
      <sharedItems containsSemiMixedTypes="0" containsNonDate="0" containsString="0"/>
    </cacheField>
    <cacheField name="[Table2].[date].[date]" caption="date" numFmtId="0" hierarchy="21" level="1">
      <sharedItems containsSemiMixedTypes="0" containsNonDate="0" containsString="0"/>
    </cacheField>
  </cacheFields>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date]" caption="date" attribute="1" time="1" defaultMemberUniqueName="[Table2].[date].[All]" allUniqueName="[Table2].[date].[All]" dimensionUniqueName="[Table2]" displayFolder="" count="2" memberValueDatatype="7" unbalanced="0">
      <fieldsUsage count="2">
        <fieldUsage x="-1"/>
        <fieldUsage x="2"/>
      </fieldsUsage>
    </cacheHierarchy>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oneField="1">
      <fieldsUsage count="1">
        <fieldUsage x="0"/>
      </fieldsUsage>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bl_financials" uniqueName="[tbl_financials]" caption="tbl_financials"/>
  </dimensions>
  <measureGroups count="2">
    <measureGroup name="Table2" caption="Table2"/>
    <measureGroup name="tbl_financials" caption="tbl_financial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b" refreshedDate="46159.824381712962" backgroundQuery="1" createdVersion="3" refreshedVersion="8" minRefreshableVersion="3" recordCount="0" supportSubquery="1" supportAdvancedDrill="1" xr:uid="{0B464F3A-ED8A-4E20-9828-D5E8DB628998}">
  <cacheSource type="external" connectionId="2">
    <extLst>
      <ext xmlns:x14="http://schemas.microsoft.com/office/spreadsheetml/2009/9/main" uri="{F057638F-6D5F-4e77-A914-E7F072B9BCA8}">
        <x14:sourceConnection name="ThisWorkbookDataModel"/>
      </ext>
    </extLst>
  </cacheSource>
  <cacheFields count="0"/>
  <cacheHierarchies count="79">
    <cacheHierarchy uniqueName="[Table2].[fiscalDateEnding]" caption="fiscalDateEnding" attribute="1" defaultMemberUniqueName="[Table2].[fiscalDateEnding].[All]" allUniqueName="[Table2].[fiscalDateEnding].[All]" dimensionUniqueName="[Table2]" displayFolder="" count="0" memberValueDatatype="20" unbalanced="0"/>
    <cacheHierarchy uniqueName="[Table2].[grossProfit]" caption="grossProfit" attribute="1" defaultMemberUniqueName="[Table2].[grossProfit].[All]" allUniqueName="[Table2].[grossProfit].[All]" dimensionUniqueName="[Table2]" displayFolder="" count="0" memberValueDatatype="5" unbalanced="0"/>
    <cacheHierarchy uniqueName="[Table2].[totalRevenue]" caption="totalRevenue" attribute="1" defaultMemberUniqueName="[Table2].[totalRevenue].[All]" allUniqueName="[Table2].[totalRevenue].[All]" dimensionUniqueName="[Table2]" displayFolder="" count="0" memberValueDatatype="5" unbalanced="0"/>
    <cacheHierarchy uniqueName="[Table2].[costOfRevenue]" caption="costOfRevenue" attribute="1" defaultMemberUniqueName="[Table2].[costOfRevenue].[All]" allUniqueName="[Table2].[costOfRevenue].[All]" dimensionUniqueName="[Table2]" displayFolder="" count="0" memberValueDatatype="5" unbalanced="0"/>
    <cacheHierarchy uniqueName="[Table2].[costofGoodsAndServicesSold]" caption="costofGoodsAndServicesSold" attribute="1" defaultMemberUniqueName="[Table2].[costofGoodsAndServicesSold].[All]" allUniqueName="[Table2].[costofGoodsAndServicesSold].[All]" dimensionUniqueName="[Table2]" displayFolder="" count="0" memberValueDatatype="5" unbalanced="0"/>
    <cacheHierarchy uniqueName="[Table2].[operatingIncome]" caption="operatingIncome" attribute="1" defaultMemberUniqueName="[Table2].[operatingIncome].[All]" allUniqueName="[Table2].[operatingIncome].[All]" dimensionUniqueName="[Table2]" displayFolder="" count="0" memberValueDatatype="5" unbalanced="0"/>
    <cacheHierarchy uniqueName="[Table2].[sellingGeneralAndAdministrative]" caption="sellingGeneralAndAdministrative" attribute="1" defaultMemberUniqueName="[Table2].[sellingGeneralAndAdministrative].[All]" allUniqueName="[Table2].[sellingGeneralAndAdministrative].[All]" dimensionUniqueName="[Table2]" displayFolder="" count="0" memberValueDatatype="5" unbalanced="0"/>
    <cacheHierarchy uniqueName="[Table2].[researchAndDevelopment]" caption="researchAndDevelopment" attribute="1" defaultMemberUniqueName="[Table2].[researchAndDevelopment].[All]" allUniqueName="[Table2].[researchAndDevelopment].[All]" dimensionUniqueName="[Table2]" displayFolder="" count="0" memberValueDatatype="5" unbalanced="0"/>
    <cacheHierarchy uniqueName="[Table2].[operatingExpenses]" caption="operatingExpenses" attribute="1" defaultMemberUniqueName="[Table2].[operatingExpenses].[All]" allUniqueName="[Table2].[operatingExpenses].[All]" dimensionUniqueName="[Table2]" displayFolder="" count="0" memberValueDatatype="5" unbalanced="0"/>
    <cacheHierarchy uniqueName="[Table2].[netInterestIncome]" caption="netInterestIncome" attribute="1" defaultMemberUniqueName="[Table2].[netInterestIncome].[All]" allUniqueName="[Table2].[netInterestIncome].[All]" dimensionUniqueName="[Table2]" displayFolder="" count="0" memberValueDatatype="20" unbalanced="0"/>
    <cacheHierarchy uniqueName="[Table2].[interestIncome]" caption="interestIncome" attribute="1" defaultMemberUniqueName="[Table2].[interestIncome].[All]" allUniqueName="[Table2].[interestIncome].[All]" dimensionUniqueName="[Table2]" displayFolder="" count="0" memberValueDatatype="20" unbalanced="0"/>
    <cacheHierarchy uniqueName="[Table2].[interestExpense]" caption="interestExpense" attribute="1" defaultMemberUniqueName="[Table2].[interestExpense].[All]" allUniqueName="[Table2].[interestExpense].[All]" dimensionUniqueName="[Table2]" displayFolder="" count="0" memberValueDatatype="20" unbalanced="0"/>
    <cacheHierarchy uniqueName="[Table2].[otherNonOperatingIncome]" caption="otherNonOperatingIncome" attribute="1" defaultMemberUniqueName="[Table2].[otherNonOperatingIncome].[All]" allUniqueName="[Table2].[otherNonOperatingIncome].[All]" dimensionUniqueName="[Table2]" displayFolder="" count="0" memberValueDatatype="20" unbalanced="0"/>
    <cacheHierarchy uniqueName="[Table2].[depreciationAndAmortization]" caption="depreciationAndAmortization" attribute="1" defaultMemberUniqueName="[Table2].[depreciationAndAmortization].[All]" allUniqueName="[Table2].[depreciationAndAmortization].[All]" dimensionUniqueName="[Table2]" displayFolder="" count="0" memberValueDatatype="5" unbalanced="0"/>
    <cacheHierarchy uniqueName="[Table2].[incomeBeforeTax]" caption="incomeBeforeTax" attribute="1" defaultMemberUniqueName="[Table2].[incomeBeforeTax].[All]" allUniqueName="[Table2].[incomeBeforeTax].[All]" dimensionUniqueName="[Table2]" displayFolder="" count="0" memberValueDatatype="5" unbalanced="0"/>
    <cacheHierarchy uniqueName="[Table2].[incomeTaxExpense]" caption="incomeTaxExpense" attribute="1" defaultMemberUniqueName="[Table2].[incomeTaxExpense].[All]" allUniqueName="[Table2].[incomeTaxExpense].[All]" dimensionUniqueName="[Table2]" displayFolder="" count="0" memberValueDatatype="5" unbalanced="0"/>
    <cacheHierarchy uniqueName="[Table2].[netIncomeFromContinuingOperations]" caption="netIncomeFromContinuingOperations" attribute="1" defaultMemberUniqueName="[Table2].[netIncomeFromContinuingOperations].[All]" allUniqueName="[Table2].[netIncomeFromContinuingOperations].[All]" dimensionUniqueName="[Table2]" displayFolder="" count="0" memberValueDatatype="5" unbalanced="0"/>
    <cacheHierarchy uniqueName="[Table2].[ebit]" caption="ebit" attribute="1" defaultMemberUniqueName="[Table2].[ebit].[All]" allUniqueName="[Table2].[ebit].[All]" dimensionUniqueName="[Table2]" displayFolder="" count="0" memberValueDatatype="5" unbalanced="0"/>
    <cacheHierarchy uniqueName="[Table2].[ebitda]" caption="ebitda" attribute="1" defaultMemberUniqueName="[Table2].[ebitda].[All]" allUniqueName="[Table2].[ebitda].[All]" dimensionUniqueName="[Table2]" displayFolder="" count="0" memberValueDatatype="5" unbalanced="0"/>
    <cacheHierarchy uniqueName="[Table2].[netIncome]" caption="netIncome" attribute="1" defaultMemberUniqueName="[Table2].[netIncome].[All]" allUniqueName="[Table2].[netIncome].[All]" dimensionUniqueName="[Table2]" displayFolder="" count="0" memberValueDatatype="5" unbalanced="0"/>
    <cacheHierarchy uniqueName="[Table2].[year]" caption="year" attribute="1" defaultMemberUniqueName="[Table2].[year].[All]" allUniqueName="[Table2].[year].[All]" dimensionUniqueName="[Table2]" displayFolder="" count="0" memberValueDatatype="20" unbalanced="0"/>
    <cacheHierarchy uniqueName="[Table2].[date]" caption="date" attribute="1" time="1" defaultMemberUniqueName="[Table2].[date].[All]" allUniqueName="[Table2].[date].[All]" dimensionUniqueName="[Table2]" displayFolder="" count="2" memberValueDatatype="7"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bl_financials].[fiscalDateEnding]" caption="fiscalDateEnding" attribute="1" time="1" defaultMemberUniqueName="[tbl_financials].[fiscalDateEnding].[All]" allUniqueName="[tbl_financials].[fiscalDateEnding].[All]" dimensionUniqueName="[tbl_financials]" displayFolder="" count="0" memberValueDatatype="7" unbalanced="0"/>
    <cacheHierarchy uniqueName="[tbl_financials].[grossProfit]" caption="grossProfit" attribute="1" defaultMemberUniqueName="[tbl_financials].[grossProfit].[All]" allUniqueName="[tbl_financials].[grossProfit].[All]" dimensionUniqueName="[tbl_financials]" displayFolder="" count="0" memberValueDatatype="5" unbalanced="0"/>
    <cacheHierarchy uniqueName="[tbl_financials].[totalRevenue]" caption="totalRevenue" attribute="1" defaultMemberUniqueName="[tbl_financials].[totalRevenue].[All]" allUniqueName="[tbl_financials].[totalRevenue].[All]" dimensionUniqueName="[tbl_financials]" displayFolder="" count="0" memberValueDatatype="5" unbalanced="0"/>
    <cacheHierarchy uniqueName="[tbl_financials].[costOfRevenue]" caption="costOfRevenue" attribute="1" defaultMemberUniqueName="[tbl_financials].[costOfRevenue].[All]" allUniqueName="[tbl_financials].[costOfRevenue].[All]" dimensionUniqueName="[tbl_financials]" displayFolder="" count="0" memberValueDatatype="5" unbalanced="0"/>
    <cacheHierarchy uniqueName="[tbl_financials].[costofGoodsAndServicesSold]" caption="costofGoodsAndServicesSold" attribute="1" defaultMemberUniqueName="[tbl_financials].[costofGoodsAndServicesSold].[All]" allUniqueName="[tbl_financials].[costofGoodsAndServicesSold].[All]" dimensionUniqueName="[tbl_financials]" displayFolder="" count="0" memberValueDatatype="5" unbalanced="0"/>
    <cacheHierarchy uniqueName="[tbl_financials].[operatingIncome]" caption="operatingIncome" attribute="1" defaultMemberUniqueName="[tbl_financials].[operatingIncome].[All]" allUniqueName="[tbl_financials].[operatingIncome].[All]" dimensionUniqueName="[tbl_financials]" displayFolder="" count="0" memberValueDatatype="5" unbalanced="0"/>
    <cacheHierarchy uniqueName="[tbl_financials].[sellingGeneralAndAdministrative]" caption="sellingGeneralAndAdministrative" attribute="1" defaultMemberUniqueName="[tbl_financials].[sellingGeneralAndAdministrative].[All]" allUniqueName="[tbl_financials].[sellingGeneralAndAdministrative].[All]" dimensionUniqueName="[tbl_financials]" displayFolder="" count="0" memberValueDatatype="5" unbalanced="0"/>
    <cacheHierarchy uniqueName="[tbl_financials].[researchAndDevelopment]" caption="researchAndDevelopment" attribute="1" defaultMemberUniqueName="[tbl_financials].[researchAndDevelopment].[All]" allUniqueName="[tbl_financials].[researchAndDevelopment].[All]" dimensionUniqueName="[tbl_financials]" displayFolder="" count="0" memberValueDatatype="5" unbalanced="0"/>
    <cacheHierarchy uniqueName="[tbl_financials].[operatingExpenses]" caption="operatingExpenses" attribute="1" defaultMemberUniqueName="[tbl_financials].[operatingExpenses].[All]" allUniqueName="[tbl_financials].[operatingExpenses].[All]" dimensionUniqueName="[tbl_financials]" displayFolder="" count="0" memberValueDatatype="5" unbalanced="0"/>
    <cacheHierarchy uniqueName="[tbl_financials].[netInterestIncome]" caption="netInterestIncome" attribute="1" defaultMemberUniqueName="[tbl_financials].[netInterestIncome].[All]" allUniqueName="[tbl_financials].[netInterestIncome].[All]" dimensionUniqueName="[tbl_financials]" displayFolder="" count="0" memberValueDatatype="20" unbalanced="0"/>
    <cacheHierarchy uniqueName="[tbl_financials].[interestIncome]" caption="interestIncome" attribute="1" defaultMemberUniqueName="[tbl_financials].[interestIncome].[All]" allUniqueName="[tbl_financials].[interestIncome].[All]" dimensionUniqueName="[tbl_financials]" displayFolder="" count="0" memberValueDatatype="20" unbalanced="0"/>
    <cacheHierarchy uniqueName="[tbl_financials].[interestExpense]" caption="interestExpense" attribute="1" defaultMemberUniqueName="[tbl_financials].[interestExpense].[All]" allUniqueName="[tbl_financials].[interestExpense].[All]" dimensionUniqueName="[tbl_financials]" displayFolder="" count="0" memberValueDatatype="20" unbalanced="0"/>
    <cacheHierarchy uniqueName="[tbl_financials].[otherNonOperatingIncome]" caption="otherNonOperatingIncome" attribute="1" defaultMemberUniqueName="[tbl_financials].[otherNonOperatingIncome].[All]" allUniqueName="[tbl_financials].[otherNonOperatingIncome].[All]" dimensionUniqueName="[tbl_financials]" displayFolder="" count="0" memberValueDatatype="20" unbalanced="0"/>
    <cacheHierarchy uniqueName="[tbl_financials].[depreciationAndAmortization]" caption="depreciationAndAmortization" attribute="1" defaultMemberUniqueName="[tbl_financials].[depreciationAndAmortization].[All]" allUniqueName="[tbl_financials].[depreciationAndAmortization].[All]" dimensionUniqueName="[tbl_financials]" displayFolder="" count="0" memberValueDatatype="5" unbalanced="0"/>
    <cacheHierarchy uniqueName="[tbl_financials].[incomeBeforeTax]" caption="incomeBeforeTax" attribute="1" defaultMemberUniqueName="[tbl_financials].[incomeBeforeTax].[All]" allUniqueName="[tbl_financials].[incomeBeforeTax].[All]" dimensionUniqueName="[tbl_financials]" displayFolder="" count="0" memberValueDatatype="5" unbalanced="0"/>
    <cacheHierarchy uniqueName="[tbl_financials].[incomeTaxExpense]" caption="incomeTaxExpense" attribute="1" defaultMemberUniqueName="[tbl_financials].[incomeTaxExpense].[All]" allUniqueName="[tbl_financials].[incomeTaxExpense].[All]" dimensionUniqueName="[tbl_financials]" displayFolder="" count="0" memberValueDatatype="5" unbalanced="0"/>
    <cacheHierarchy uniqueName="[tbl_financials].[netIncomeFromContinuingOperations]" caption="netIncomeFromContinuingOperations" attribute="1" defaultMemberUniqueName="[tbl_financials].[netIncomeFromContinuingOperations].[All]" allUniqueName="[tbl_financials].[netIncomeFromContinuingOperations].[All]" dimensionUniqueName="[tbl_financials]" displayFolder="" count="0" memberValueDatatype="5" unbalanced="0"/>
    <cacheHierarchy uniqueName="[tbl_financials].[ebit]" caption="ebit" attribute="1" defaultMemberUniqueName="[tbl_financials].[ebit].[All]" allUniqueName="[tbl_financials].[ebit].[All]" dimensionUniqueName="[tbl_financials]" displayFolder="" count="0" memberValueDatatype="5" unbalanced="0"/>
    <cacheHierarchy uniqueName="[tbl_financials].[ebitda]" caption="ebitda" attribute="1" defaultMemberUniqueName="[tbl_financials].[ebitda].[All]" allUniqueName="[tbl_financials].[ebitda].[All]" dimensionUniqueName="[tbl_financials]" displayFolder="" count="0" memberValueDatatype="5" unbalanced="0"/>
    <cacheHierarchy uniqueName="[tbl_financials].[netIncome]" caption="netIncome" attribute="1" defaultMemberUniqueName="[tbl_financials].[netIncome].[All]" allUniqueName="[tbl_financials].[netIncome].[All]" dimensionUniqueName="[tbl_financials]" displayFolder="" count="0" memberValueDatatype="5" unbalanced="0"/>
    <cacheHierarchy uniqueName="[tbl_financials].[fiscalDateEnding (Year)]" caption="fiscalDateEnding (Year)" attribute="1" defaultMemberUniqueName="[tbl_financials].[fiscalDateEnding (Year)].[All]" allUniqueName="[tbl_financials].[fiscalDateEnding (Year)].[All]" dimensionUniqueName="[tbl_financials]" displayFolder="" count="0" memberValueDatatype="130" unbalanced="0"/>
    <cacheHierarchy uniqueName="[tbl_financials].[fiscalDateEnding (Quarter)]" caption="fiscalDateEnding (Quarter)" attribute="1" defaultMemberUniqueName="[tbl_financials].[fiscalDateEnding (Quarter)].[All]" allUniqueName="[tbl_financials].[fiscalDateEnding (Quarter)].[All]" dimensionUniqueName="[tbl_financials]" displayFolder="" count="0" memberValueDatatype="130" unbalanced="0"/>
    <cacheHierarchy uniqueName="[tbl_financials].[fiscalDateEnding (Month)]" caption="fiscalDateEnding (Month)" attribute="1" defaultMemberUniqueName="[tbl_financials].[fiscalDateEnding (Month)].[All]" allUniqueName="[tbl_financials].[fiscalDateEnding (Month)].[All]" dimensionUniqueName="[tbl_financials]" displayFolder="" count="0" memberValueDatatype="130"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tbl_financials].[fiscalDateEnding (Month Index)]" caption="fiscalDateEnding (Month Index)" attribute="1" defaultMemberUniqueName="[tbl_financials].[fiscalDateEnding (Month Index)].[All]" allUniqueName="[tbl_financials].[fiscalDateEnding (Month Index)].[All]" dimensionUniqueName="[tbl_financials]" displayFolder="" count="0" memberValueDatatype="20" unbalanced="0" hidden="1"/>
    <cacheHierarchy uniqueName="[Measures].[Sum of operatingExpenses]" caption="Sum of operatingExpenses" measure="1" displayFolder="" measureGroup="Table2" count="0">
      <extLst>
        <ext xmlns:x15="http://schemas.microsoft.com/office/spreadsheetml/2010/11/main" uri="{B97F6D7D-B522-45F9-BDA1-12C45D357490}">
          <x15:cacheHierarchy aggregatedColumn="8"/>
        </ext>
      </extLst>
    </cacheHierarchy>
    <cacheHierarchy uniqueName="[Measures].[Sum of interestExpense]" caption="Sum of interestExpense" measure="1" displayFolder="" measureGroup="Table2" count="0">
      <extLst>
        <ext xmlns:x15="http://schemas.microsoft.com/office/spreadsheetml/2010/11/main" uri="{B97F6D7D-B522-45F9-BDA1-12C45D357490}">
          <x15:cacheHierarchy aggregatedColumn="11"/>
        </ext>
      </extLst>
    </cacheHierarchy>
    <cacheHierarchy uniqueName="[Measures].[Sum of incomeTaxExpense]" caption="Sum of incomeTaxExpense" measure="1" displayFolder="" measureGroup="Table2" count="0">
      <extLst>
        <ext xmlns:x15="http://schemas.microsoft.com/office/spreadsheetml/2010/11/main" uri="{B97F6D7D-B522-45F9-BDA1-12C45D357490}">
          <x15:cacheHierarchy aggregatedColumn="15"/>
        </ext>
      </extLst>
    </cacheHierarchy>
    <cacheHierarchy uniqueName="[Measures].[Sum of totalRevenue]" caption="Sum of totalRevenue" measure="1" displayFolder="" measureGroup="Table2" count="0">
      <extLst>
        <ext xmlns:x15="http://schemas.microsoft.com/office/spreadsheetml/2010/11/main" uri="{B97F6D7D-B522-45F9-BDA1-12C45D357490}">
          <x15:cacheHierarchy aggregatedColumn="2"/>
        </ext>
      </extLst>
    </cacheHierarchy>
    <cacheHierarchy uniqueName="[Measures].[Sum of totalRevenue 2]" caption="Sum of totalRevenue 2" measure="1" displayFolder="" measureGroup="tbl_financials" count="0">
      <extLst>
        <ext xmlns:x15="http://schemas.microsoft.com/office/spreadsheetml/2010/11/main" uri="{B97F6D7D-B522-45F9-BDA1-12C45D357490}">
          <x15:cacheHierarchy aggregatedColumn="27"/>
        </ext>
      </extLst>
    </cacheHierarchy>
    <cacheHierarchy uniqueName="[Measures].[Sum of ebitda]" caption="Sum of ebitda" measure="1" displayFolder="" measureGroup="Table2" count="0">
      <extLst>
        <ext xmlns:x15="http://schemas.microsoft.com/office/spreadsheetml/2010/11/main" uri="{B97F6D7D-B522-45F9-BDA1-12C45D357490}">
          <x15:cacheHierarchy aggregatedColumn="18"/>
        </ext>
      </extLst>
    </cacheHierarchy>
    <cacheHierarchy uniqueName="[Measures].[Sum of netIncome]" caption="Sum of netIncome" measure="1" displayFolder="" measureGroup="Table2" count="0">
      <extLst>
        <ext xmlns:x15="http://schemas.microsoft.com/office/spreadsheetml/2010/11/main" uri="{B97F6D7D-B522-45F9-BDA1-12C45D357490}">
          <x15:cacheHierarchy aggregatedColumn="19"/>
        </ext>
      </extLst>
    </cacheHierarchy>
    <cacheHierarchy uniqueName="[Measures].[Sum of year]" caption="Sum of year" measure="1" displayFolder="" measureGroup="Table2" count="0">
      <extLst>
        <ext xmlns:x15="http://schemas.microsoft.com/office/spreadsheetml/2010/11/main" uri="{B97F6D7D-B522-45F9-BDA1-12C45D357490}">
          <x15:cacheHierarchy aggregatedColumn="20"/>
        </ext>
      </extLst>
    </cacheHierarchy>
    <cacheHierarchy uniqueName="[Measures].[Sum of costofGoodsAndServicesSold]" caption="Sum of costofGoodsAndServicesSold" measure="1" displayFolder="" measureGroup="Table2" count="0">
      <extLst>
        <ext xmlns:x15="http://schemas.microsoft.com/office/spreadsheetml/2010/11/main" uri="{B97F6D7D-B522-45F9-BDA1-12C45D357490}">
          <x15:cacheHierarchy aggregatedColumn="4"/>
        </ext>
      </extLst>
    </cacheHierarchy>
    <cacheHierarchy uniqueName="[Measures].[Sum of sellingGeneralAndAdministrative]" caption="Sum of sellingGeneralAndAdministrative" measure="1" displayFolder="" measureGroup="Table2" count="0">
      <extLst>
        <ext xmlns:x15="http://schemas.microsoft.com/office/spreadsheetml/2010/11/main" uri="{B97F6D7D-B522-45F9-BDA1-12C45D357490}">
          <x15:cacheHierarchy aggregatedColumn="6"/>
        </ext>
      </extLst>
    </cacheHierarchy>
    <cacheHierarchy uniqueName="[Measures].[Sum of researchAndDevelopment]" caption="Sum of researchAndDevelopment" measure="1" displayFolder="" measureGroup="Table2" count="0">
      <extLst>
        <ext xmlns:x15="http://schemas.microsoft.com/office/spreadsheetml/2010/11/main" uri="{B97F6D7D-B522-45F9-BDA1-12C45D357490}">
          <x15:cacheHierarchy aggregatedColumn="7"/>
        </ext>
      </extLst>
    </cacheHierarchy>
    <cacheHierarchy uniqueName="[Measures].[Sum of depreciationAndAmortization]" caption="Sum of depreciationAndAmortization" measure="1" displayFolder="" measureGroup="Table2" count="0">
      <extLst>
        <ext xmlns:x15="http://schemas.microsoft.com/office/spreadsheetml/2010/11/main" uri="{B97F6D7D-B522-45F9-BDA1-12C45D357490}">
          <x15:cacheHierarchy aggregatedColumn="13"/>
        </ext>
      </extLst>
    </cacheHierarchy>
    <cacheHierarchy uniqueName="[Measures].[Sum of grossProfit]" caption="Sum of grossProfit" measure="1" displayFolder="" measureGroup="Table2" count="0">
      <extLst>
        <ext xmlns:x15="http://schemas.microsoft.com/office/spreadsheetml/2010/11/main" uri="{B97F6D7D-B522-45F9-BDA1-12C45D357490}">
          <x15:cacheHierarchy aggregatedColumn="1"/>
        </ext>
      </extLst>
    </cacheHierarchy>
    <cacheHierarchy uniqueName="[Measures].[Sum of netIncomeFromContinuingOperations]" caption="Sum of netIncomeFromContinuingOperations" measure="1" displayFolder="" measureGroup="Table2" count="0">
      <extLst>
        <ext xmlns:x15="http://schemas.microsoft.com/office/spreadsheetml/2010/11/main" uri="{B97F6D7D-B522-45F9-BDA1-12C45D357490}">
          <x15:cacheHierarchy aggregatedColumn="16"/>
        </ext>
      </extLst>
    </cacheHierarchy>
    <cacheHierarchy uniqueName="[Measures].[Total Revenue]" caption="Total Revenue" measure="1" displayFolder="" measureGroup="Table2" count="0"/>
    <cacheHierarchy uniqueName="[Measures].[Total Gross Profit]" caption="Total Gross Profit" measure="1" displayFolder="" measureGroup="Table2" count="0"/>
    <cacheHierarchy uniqueName="[Measures].[Gross Mrgin]" caption="Gross Mrgin" measure="1" displayFolder="" measureGroup="Table2" count="0"/>
    <cacheHierarchy uniqueName="[Measures].[Operating Margin]" caption="Operating Margin" measure="1" displayFolder="" measureGroup="Table2" count="0"/>
    <cacheHierarchy uniqueName="[Measures].[Net Margin]" caption="Net Margin" measure="1" displayFolder="" measureGroup="Table2" count="0"/>
    <cacheHierarchy uniqueName="[Measures].[EBITDA Margin]" caption="EBITDA Margin" measure="1" displayFolder="" measureGroup="Table2" count="0"/>
    <cacheHierarchy uniqueName="[Measures].[Expense Ratio]" caption="Expense Ratio" measure="1" displayFolder="" measureGroup="Table2" count="0"/>
    <cacheHierarchy uniqueName="[Measures].[SG&amp;A Ratio]" caption="SG&amp;A Ratio" measure="1" displayFolder="" measureGroup="Table2" count="0"/>
    <cacheHierarchy uniqueName="[Measures].[R&amp;D Ratio]" caption="R&amp;D Ratio" measure="1" displayFolder="" measureGroup="Table2" count="0"/>
    <cacheHierarchy uniqueName="[Measures].[Tax Rate]" caption="Tax Rate" measure="1" displayFolder="" measureGroup="Table2" count="0"/>
    <cacheHierarchy uniqueName="[Measures].[Interest Coverage]" caption="Interest Coverage" measure="1" displayFolder="" measureGroup="Table2" count="0"/>
    <cacheHierarchy uniqueName="[Measures].[Revenue LY]" caption="Revenue LY" measure="1" displayFolder="" measureGroup="Table2" count="0"/>
    <cacheHierarchy uniqueName="[Measures].[__XL_Count Table2]" caption="__XL_Count Table2" measure="1" displayFolder="" measureGroup="Table2" count="0" hidden="1"/>
    <cacheHierarchy uniqueName="[Measures].[__XL_Count tbl_financials]" caption="__XL_Count tbl_financials" measure="1" displayFolder="" measureGroup="tbl_financia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07438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FDCE4-7EF9-42F3-9ADD-CDCD9EB3686C}" name="PivotTable6" cacheId="7" applyNumberFormats="0" applyBorderFormats="0" applyFontFormats="0" applyPatternFormats="0" applyAlignmentFormats="0" applyWidthHeightFormats="1" dataCaption="Values" tag="445f9a66-1c4f-422c-953f-4dc488947de9" updatedVersion="8" minRefreshableVersion="3" useAutoFormatting="1" subtotalHiddenItems="1" itemPrintTitles="1" createdVersion="8" indent="0" outline="1" outlineData="1" multipleFieldFilters="0" chartFormat="4">
  <location ref="AK3:AN24" firstHeaderRow="0" firstDataRow="1" firstDataCol="1"/>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G&amp;A" fld="0" baseField="3" baseItem="0"/>
    <dataField name="R&amp;D" fld="1" baseField="3" baseItem="0"/>
    <dataField name="InterestExpense" fld="2" baseField="3"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nterestExpense"/>
    <pivotHierarchy dragToData="1" caption="IncomeTaxExpense"/>
    <pivotHierarchy dragToData="1"/>
    <pivotHierarchy dragToData="1"/>
    <pivotHierarchy dragToData="1"/>
    <pivotHierarchy dragToData="1"/>
    <pivotHierarchy dragToData="1"/>
    <pivotHierarchy dragToData="1"/>
    <pivotHierarchy dragToData="1" caption="SG&amp;A"/>
    <pivotHierarchy dragToData="1" caption="R&amp;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BF54E-A613-4A62-A834-09AA987AE792}" name="PivotTable8" cacheId="9" applyNumberFormats="0" applyBorderFormats="0" applyFontFormats="0" applyPatternFormats="0" applyAlignmentFormats="0" applyWidthHeightFormats="1" dataCaption="Values" tag="35c82e09-6541-4290-810c-af2182994900" updatedVersion="8" minRefreshableVersion="3" useAutoFormatting="1" subtotalHiddenItems="1" itemPrintTitles="1" createdVersion="8" indent="0" outline="1" outlineData="1" multipleFieldFilters="0" chartFormat="2">
  <location ref="BB3:BC4"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FDE52-F484-4E3A-A9AB-EE56022E73D5}" name="PivotTable4" cacheId="5" applyNumberFormats="0" applyBorderFormats="0" applyFontFormats="0" applyPatternFormats="0" applyAlignmentFormats="0" applyWidthHeightFormats="1" dataCaption="Values" tag="f7cb2765-63d1-4fe3-b9cc-692b4af31169" updatedVersion="8" minRefreshableVersion="3" useAutoFormatting="1" subtotalHiddenItems="1" itemPrintTitles="1" createdVersion="8" indent="0" outline="1" outlineData="1" multipleFieldFilters="0" chartFormat="11">
  <location ref="S2:U23" firstHeaderRow="0" firstDataRow="1" firstDataCol="1"/>
  <pivotFields count="5">
    <pivotField dataField="1" subtotalTop="0" showAll="0" defaultSubtotal="0"/>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items count="20">
        <item x="0" e="0"/>
        <item x="1" e="0"/>
        <item x="2" e="0"/>
        <item x="3" e="0"/>
        <item x="4" e="0"/>
        <item x="5" e="0"/>
        <item x="6" e="0"/>
        <item x="7" e="0"/>
        <item x="8" e="0"/>
        <item x="9" e="0"/>
        <item x="10" e="0"/>
        <item x="11" e="0"/>
        <item x="12" e="0"/>
        <item x="13" e="0"/>
        <item x="14" e="0"/>
        <item x="15" e="0"/>
        <item x="16" e="0"/>
        <item x="17" e="0"/>
        <item x="18" e="0"/>
        <item x="19" e="0"/>
      </items>
    </pivotField>
    <pivotField allDrilled="1" subtotalTop="0" showAll="0" dataSourceSort="1" defaultSubtotal="0" defaultAttributeDrillState="1"/>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Total ebitda" fld="0" baseField="2" baseItem="0"/>
    <dataField name="Total netIncome" fld="1" baseField="2"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bitda"/>
    <pivotHierarchy dragToData="1" caption="Total netIncom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bl_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017AB9-4D7A-4BF7-9B2F-48EF953B05C8}" name="PivotTable10" cacheId="1" applyNumberFormats="0" applyBorderFormats="0" applyFontFormats="0" applyPatternFormats="0" applyAlignmentFormats="0" applyWidthHeightFormats="1" dataCaption="Values" tag="59bb6061-7dec-48b4-8589-0dab49b60c23" updatedVersion="8" minRefreshableVersion="3" useAutoFormatting="1" subtotalHiddenItems="1" itemPrintTitles="1" createdVersion="8" indent="0" outline="1" outlineData="1" multipleFieldFilters="0">
  <location ref="E18:E19"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2">
      <pivotArea outline="0" collapsedLevelsAreSubtotals="1"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36F47A-FADA-4E50-9286-3A740DEDBA93}" name="PivotTable2" cacheId="3" applyNumberFormats="0" applyBorderFormats="0" applyFontFormats="0" applyPatternFormats="0" applyAlignmentFormats="0" applyWidthHeightFormats="1" dataCaption="Values" tag="f3965a0c-ae8a-44fd-a12d-7bac535888c2" updatedVersion="8" minRefreshableVersion="3" useAutoFormatting="1" subtotalHiddenItems="1" itemPrintTitles="1" createdVersion="8" indent="0" outline="1" outlineData="1" multipleFieldFilters="0" chartFormat="15" rowHeaderCaption="Date">
  <location ref="A1:B22" firstHeaderRow="1" firstDataRow="1" firstDataCol="1"/>
  <pivotFields count="6">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items count="20">
        <item x="0" e="0"/>
        <item x="1" e="0"/>
        <item x="2" e="0"/>
        <item x="3" e="0"/>
        <item x="4" e="0"/>
        <item x="5" e="0"/>
        <item x="6" e="0"/>
        <item x="7" e="0"/>
        <item x="8" e="0"/>
        <item x="9" e="0"/>
        <item x="10" e="0"/>
        <item x="11" e="0"/>
        <item x="12" e="0"/>
        <item x="13" e="0"/>
        <item x="14" e="0"/>
        <item x="15" e="0"/>
        <item x="16" e="0"/>
        <item x="17" e="0"/>
        <item x="18" e="0"/>
        <item x="19" e="0"/>
      </items>
    </pivotField>
    <pivotField allDrilled="1" subtotalTop="0" showAll="0" dataSourceSort="1" defaultSubtotal="0" defaultAttributeDrillState="1"/>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3" subtotal="count" baseField="0" baseItem="0"/>
  </dataFields>
  <formats count="2">
    <format dxfId="4">
      <pivotArea outline="0" collapsedLevelsAreSubtotals="1" fieldPosition="0"/>
    </format>
    <format dxfId="3">
      <pivotArea dataOnly="0" labelOnly="1" outline="0" axis="axisValues" fieldPosition="0"/>
    </format>
  </formats>
  <chartFormats count="1">
    <chartFormat chart="14" format="5" series="1">
      <pivotArea type="data" outline="0" fieldPosition="0">
        <references count="1">
          <reference field="4294967294" count="1" selected="0">
            <x v="0"/>
          </reference>
        </references>
      </pivotArea>
    </chartFormat>
  </chartFormats>
  <pivotHierarchies count="79">
    <pivotHierarchy multipleItemSelectionAllowed="1" dragToData="1">
      <members count="1" level="1">
        <member name="[Table2].[fiscalDateEnding].&amp;[398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tbl_financials].[fiscalDateEnding].&amp;[2011-12-31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bl_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C355AB-6DE5-48DA-99F1-26B4CDFA0847}" name="PivotTable5" cacheId="6" applyNumberFormats="0" applyBorderFormats="0" applyFontFormats="0" applyPatternFormats="0" applyAlignmentFormats="0" applyWidthHeightFormats="1" dataCaption="Values" tag="34e4da73-ccdd-4bd7-9447-179d1521407b" updatedVersion="8" minRefreshableVersion="3" useAutoFormatting="1" subtotalHiddenItems="1" itemPrintTitles="1" createdVersion="8" indent="0" outline="1" outlineData="1" multipleFieldFilters="0" chartFormat="5">
  <location ref="AC3:AH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COGS" fld="0" baseField="0" baseItem="1"/>
    <dataField name="SG&amp;A" fld="1" baseField="0" baseItem="1"/>
    <dataField name="R&amp;D" fld="2" baseField="0" baseItem="2"/>
    <dataField name="Interest Expense" fld="3" baseField="0" baseItem="3"/>
    <dataField name="IncomeTaxExpense" fld="4" baseField="0" baseItem="4"/>
    <dataField name="Total of depreciationAndAmortization" fld="5" baseField="0" baseItem="5"/>
  </dataFields>
  <formats count="1">
    <format dxfId="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nterest Expense"/>
    <pivotHierarchy dragToData="1" caption="IncomeTaxExpense"/>
    <pivotHierarchy dragToData="1"/>
    <pivotHierarchy dragToData="1"/>
    <pivotHierarchy dragToData="1"/>
    <pivotHierarchy dragToData="1"/>
    <pivotHierarchy dragToData="1"/>
    <pivotHierarchy dragToData="1" caption="COGS"/>
    <pivotHierarchy dragToData="1" caption="SG&amp;A"/>
    <pivotHierarchy dragToData="1" caption="R&amp;D"/>
    <pivotHierarchy dragToData="1" caption="Total of depreciationAndAmortizatio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1EDDBE-5A23-4668-A544-5A457F8B746C}" name="PivotTable3" cacheId="4" applyNumberFormats="0" applyBorderFormats="0" applyFontFormats="0" applyPatternFormats="0" applyAlignmentFormats="0" applyWidthHeightFormats="1" dataCaption="Values" tag="4613e8fe-4d9c-492c-b29b-2b72611bc1ed" updatedVersion="8" minRefreshableVersion="3" useAutoFormatting="1" subtotalHiddenItems="1" itemPrintTitles="1" createdVersion="8" indent="0" outline="1" outlineData="1" multipleFieldFilters="0" chartFormat="7">
  <location ref="M2:P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chartFormats count="4">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B694E8-B0E9-49E6-94BA-E079A38BFDAA}" name="PivotTable1" cacheId="0" applyNumberFormats="0" applyBorderFormats="0" applyFontFormats="0" applyPatternFormats="0" applyAlignmentFormats="0" applyWidthHeightFormats="1" dataCaption="Values" tag="7977adc8-6864-46fd-ba55-b30635dc8ce3" updatedVersion="8" minRefreshableVersion="3" useAutoFormatting="1" subtotalHiddenItems="1" itemPrintTitles="1" createdVersion="8" indent="0" outline="1" outlineData="1" multipleFieldFilters="0">
  <location ref="C18:C19"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6">
      <pivotArea outline="0" collapsedLevelsAreSubtotals="1"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B654F0-4F08-46EF-A5C4-803A5EDA2C67}" name="PivotTable11" cacheId="2" applyNumberFormats="0" applyBorderFormats="0" applyFontFormats="0" applyPatternFormats="0" applyAlignmentFormats="0" applyWidthHeightFormats="1" dataCaption="Values" tag="de1eb545-1caf-478e-8945-ba12cacb796b" updatedVersion="8" minRefreshableVersion="3" useAutoFormatting="1" subtotalHiddenItems="1" itemPrintTitles="1" createdVersion="8" indent="0" outline="1" outlineData="1" multipleFieldFilters="0">
  <location ref="H18:H19"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7">
      <pivotArea outline="0" collapsedLevelsAreSubtotals="1"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1F609E-423A-4131-A9DE-6075EEA7EAD8}" name="PivotTable7" cacheId="8" applyNumberFormats="0" applyBorderFormats="0" applyFontFormats="0" applyPatternFormats="0" applyAlignmentFormats="0" applyWidthHeightFormats="1" dataCaption="Values" tag="044c0152-9cc4-4126-98cf-16450864de87" updatedVersion="8" minRefreshableVersion="3" useAutoFormatting="1" subtotalHiddenItems="1" itemPrintTitles="1" createdVersion="8" indent="0" outline="1" outlineData="1" multipleFieldFilters="0" chartFormat="6">
  <location ref="AU3:AW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
    <format dxfId="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7A7702-0C05-4DDA-86F3-8926417229A7}" name="PivotTable9" cacheId="10" applyNumberFormats="0" applyBorderFormats="0" applyFontFormats="0" applyPatternFormats="0" applyAlignmentFormats="0" applyWidthHeightFormats="1" dataCaption="Values" tag="d5d3b2c8-079f-4250-b99a-28017c4a9611" updatedVersion="8" minRefreshableVersion="3" useAutoFormatting="1" subtotalHiddenItems="1" itemPrintTitles="1" createdVersion="8" indent="0" outline="1" outlineData="1" multipleFieldFilters="0">
  <location ref="BH3:BH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netIncomeFromContinuingOperations"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year].&amp;[20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9D4B64-D28A-46AF-A2E5-A8EA7906B404}" autoFormatId="16" applyNumberFormats="0" applyBorderFormats="0" applyFontFormats="0" applyPatternFormats="0" applyAlignmentFormats="0" applyWidthHeightFormats="0">
  <queryTableRefresh nextId="61">
    <queryTableFields count="20">
      <queryTableField id="41" name="fiscalDateEnding" tableColumnId="41"/>
      <queryTableField id="42" name="grossProfit" tableColumnId="42"/>
      <queryTableField id="43" name="totalRevenue" tableColumnId="43"/>
      <queryTableField id="44" name="costOfRevenue" tableColumnId="44"/>
      <queryTableField id="45" name="costofGoodsAndServicesSold" tableColumnId="45"/>
      <queryTableField id="46" name="operatingIncome" tableColumnId="46"/>
      <queryTableField id="47" name="sellingGeneralAndAdministrative" tableColumnId="47"/>
      <queryTableField id="48" name="researchAndDevelopment" tableColumnId="48"/>
      <queryTableField id="49" name="operatingExpenses" tableColumnId="49"/>
      <queryTableField id="50" name="netInterestIncome" tableColumnId="50"/>
      <queryTableField id="51" name="interestIncome" tableColumnId="51"/>
      <queryTableField id="52" name="interestExpense" tableColumnId="52"/>
      <queryTableField id="53" name="otherNonOperatingIncome" tableColumnId="53"/>
      <queryTableField id="54" name="depreciationAndAmortization" tableColumnId="54"/>
      <queryTableField id="55" name="incomeBeforeTax" tableColumnId="55"/>
      <queryTableField id="56" name="incomeTaxExpense" tableColumnId="56"/>
      <queryTableField id="57" name="netIncomeFromContinuingOperations" tableColumnId="57"/>
      <queryTableField id="58" name="ebit" tableColumnId="58"/>
      <queryTableField id="59" name="ebitda" tableColumnId="59"/>
      <queryTableField id="60" name="netIncome" tableColumnId="6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672E076-EEEF-4B52-8D82-4B7C27683083}" sourceName="[Table2].[date]">
  <pivotTables>
    <pivotTable tabId="6" name="PivotTable1"/>
    <pivotTable tabId="6" name="PivotTable10"/>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440743898">
      <levels count="2">
        <level uniqueName="[Table2].[date].[(All)]" sourceCaption="(All)" count="0"/>
        <level uniqueName="[Table2].[date].[date]" sourceCaption="date" count="20">
          <ranges>
            <range startItem="0">
              <i n="[Table2].[date].&amp;[2006-12-31T00:00:00]" c="12/31/2006"/>
              <i n="[Table2].[date].&amp;[2007-12-31T00:00:00]" c="12/31/2007"/>
              <i n="[Table2].[date].&amp;[2008-12-31T00:00:00]" c="12/31/2008"/>
              <i n="[Table2].[date].&amp;[2009-12-31T00:00:00]" c="12/31/2009"/>
              <i n="[Table2].[date].&amp;[2010-12-31T00:00:00]" c="12/31/2010"/>
              <i n="[Table2].[date].&amp;[2011-12-31T00:00:00]" c="12/31/2011"/>
              <i n="[Table2].[date].&amp;[2012-12-31T00:00:00]" c="12/31/2012"/>
              <i n="[Table2].[date].&amp;[2013-12-31T00:00:00]" c="12/31/2013"/>
              <i n="[Table2].[date].&amp;[2014-12-31T00:00:00]" c="12/31/2014"/>
              <i n="[Table2].[date].&amp;[2015-12-31T00:00:00]" c="12/31/2015"/>
              <i n="[Table2].[date].&amp;[2016-12-31T00:00:00]" c="12/31/2016"/>
              <i n="[Table2].[date].&amp;[2017-12-31T00:00:00]" c="12/31/2017"/>
              <i n="[Table2].[date].&amp;[2018-12-31T00:00:00]" c="12/31/2018"/>
              <i n="[Table2].[date].&amp;[2019-12-31T00:00:00]" c="12/31/2019"/>
              <i n="[Table2].[date].&amp;[2020-12-31T00:00:00]" c="12/31/2020"/>
              <i n="[Table2].[date].&amp;[2021-12-31T00:00:00]" c="12/31/2021"/>
              <i n="[Table2].[date].&amp;[2022-12-31T00:00:00]" c="12/31/2022"/>
              <i n="[Table2].[date].&amp;[2023-12-31T00:00:00]" c="12/31/2023"/>
              <i n="[Table2].[date].&amp;[2024-12-31T00:00:00]" c="12/31/2024"/>
              <i n="[Table2].[date].&amp;[2025-12-31T00:00:00]" c="12/31/2025"/>
            </range>
          </ranges>
        </level>
      </levels>
      <selections count="1">
        <selection n="[Table2].[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5C59FBB-47E2-4717-8D41-11EF8DAAE2D6}" cache="Slicer_date" caption="dat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56147-43AB-4D2E-AF2C-5D0C3D8E5224}" name="tbl_financials" displayName="tbl_financials" ref="A1:T21" tableType="queryTable" totalsRowShown="0">
  <autoFilter ref="A1:T21" xr:uid="{AE456147-43AB-4D2E-AF2C-5D0C3D8E5224}"/>
  <tableColumns count="20">
    <tableColumn id="41" xr3:uid="{8393A6B5-2579-49A9-AF08-0B2A8ABAE8E7}" uniqueName="41" name="fiscalDateEnding" queryTableFieldId="41" dataDxfId="35"/>
    <tableColumn id="42" xr3:uid="{BF5F472A-D216-4E5B-938D-949DE7BCA796}" uniqueName="42" name="grossProfit" queryTableFieldId="42"/>
    <tableColumn id="43" xr3:uid="{935D5BB4-01DE-430D-ACC0-F8C68D2307C0}" uniqueName="43" name="totalRevenue" queryTableFieldId="43"/>
    <tableColumn id="44" xr3:uid="{E99CE9B1-0E6E-4938-B354-62068B1C40B7}" uniqueName="44" name="costOfRevenue" queryTableFieldId="44"/>
    <tableColumn id="45" xr3:uid="{27C2CBAD-636F-40B5-8C26-1700FDB04355}" uniqueName="45" name="costofGoodsAndServicesSold" queryTableFieldId="45"/>
    <tableColumn id="46" xr3:uid="{AB63DD42-F5E5-4FAD-BD2F-2E5F43626133}" uniqueName="46" name="operatingIncome" queryTableFieldId="46"/>
    <tableColumn id="47" xr3:uid="{9497936C-36A1-4FC8-99E3-AC6F57CB8232}" uniqueName="47" name="sellingGeneralAndAdministrative" queryTableFieldId="47"/>
    <tableColumn id="48" xr3:uid="{6775EE01-7547-43A7-AFE4-7FA4A61315A7}" uniqueName="48" name="researchAndDevelopment" queryTableFieldId="48"/>
    <tableColumn id="49" xr3:uid="{A65B3FD2-79F5-4A8A-9ED6-4DB6135B8E80}" uniqueName="49" name="operatingExpenses" queryTableFieldId="49"/>
    <tableColumn id="50" xr3:uid="{499E678A-843C-49A8-80FF-9B17E2EC4D7F}" uniqueName="50" name="netInterestIncome" queryTableFieldId="50"/>
    <tableColumn id="51" xr3:uid="{BD5057D6-8EAD-47E8-BD46-3E2C1C38C908}" uniqueName="51" name="interestIncome" queryTableFieldId="51"/>
    <tableColumn id="52" xr3:uid="{A6CDA31A-E066-4C3F-B19A-56E8E2A69FE0}" uniqueName="52" name="interestExpense" queryTableFieldId="52"/>
    <tableColumn id="53" xr3:uid="{E213A85D-C8DA-4B8D-B00B-3AB0893A83F2}" uniqueName="53" name="otherNonOperatingIncome" queryTableFieldId="53"/>
    <tableColumn id="54" xr3:uid="{5BD648E9-0B61-4FA1-9ED3-35C0938145DD}" uniqueName="54" name="depreciationAndAmortization" queryTableFieldId="54"/>
    <tableColumn id="55" xr3:uid="{A8A3028F-3416-4578-BCA8-8D3AB34B98A0}" uniqueName="55" name="incomeBeforeTax" queryTableFieldId="55"/>
    <tableColumn id="56" xr3:uid="{4B3D4B1F-286F-4C0C-9DAE-93C8164BD2EA}" uniqueName="56" name="incomeTaxExpense" queryTableFieldId="56"/>
    <tableColumn id="57" xr3:uid="{37B0E705-2D2E-4F78-8B25-88DC1EFF58CF}" uniqueName="57" name="netIncomeFromContinuingOperations" queryTableFieldId="57"/>
    <tableColumn id="58" xr3:uid="{5BBB12E9-7E6E-4B0B-AFE7-68BD7D4E2E46}" uniqueName="58" name="ebit" queryTableFieldId="58"/>
    <tableColumn id="59" xr3:uid="{D66D4A34-03B9-4EF2-B60A-B89DE876BD21}" uniqueName="59" name="ebitda" queryTableFieldId="59"/>
    <tableColumn id="60" xr3:uid="{FBBFA034-7580-449D-946D-3682E3AE50AC}" uniqueName="60" name="netIncome" queryTableFieldId="6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AB22F7-1FFA-4125-B995-DA5CA380ADBD}" name="Financials" displayName="Financials" ref="B1:V21" totalsRowShown="0" headerRowDxfId="34" dataDxfId="32" headerRowBorderDxfId="33" tableBorderDxfId="31" totalsRowBorderDxfId="30">
  <autoFilter ref="B1:V21" xr:uid="{9EAB22F7-1FFA-4125-B995-DA5CA380ADBD}"/>
  <tableColumns count="21">
    <tableColumn id="1" xr3:uid="{6272416C-9F86-4DF4-9AA7-8A094C24CC2C}" name="fiscalDateEnding" dataDxfId="29"/>
    <tableColumn id="2" xr3:uid="{50CA46AA-F7F0-4B9B-916C-526DFF9A9DFE}" name="grossProfit" dataDxfId="28"/>
    <tableColumn id="3" xr3:uid="{A48FF53E-AF3B-4AB2-8DE7-EF24F66305D4}" name="totalRevenue" dataDxfId="27" dataCellStyle="Comma"/>
    <tableColumn id="4" xr3:uid="{27951EF6-96C7-422C-A1DB-333D20C4B173}" name="costOfRevenue" dataDxfId="26"/>
    <tableColumn id="5" xr3:uid="{8DF00AFA-CCB4-4BB2-A41D-407AE63FB6C5}" name="costofGoodsAndServicesSold" dataDxfId="25"/>
    <tableColumn id="6" xr3:uid="{8791973C-579F-4CDE-B794-39DCB2AD4484}" name="operatingIncome" dataDxfId="24"/>
    <tableColumn id="7" xr3:uid="{2A0137CD-76A1-406E-BB85-412495F0BBF5}" name="sellingGeneralAndAdministrative" dataDxfId="23"/>
    <tableColumn id="8" xr3:uid="{C679EEBD-38A9-4EEB-8B2E-6C886988C2D0}" name="researchAndDevelopment" dataDxfId="22"/>
    <tableColumn id="9" xr3:uid="{3F29C8EE-AA72-480C-A30F-5AD9888877A0}" name="operatingExpenses" dataDxfId="21"/>
    <tableColumn id="10" xr3:uid="{CD69EF51-7663-4C43-AEA9-1BA65E779D78}" name="netInterestIncome" dataDxfId="20"/>
    <tableColumn id="11" xr3:uid="{4951D768-236F-482D-AAB5-0FE5C9D54038}" name="interestIncome" dataDxfId="19"/>
    <tableColumn id="12" xr3:uid="{B77B9DBB-AE70-4774-A163-0AEA6336A15B}" name="interestExpense" dataDxfId="18"/>
    <tableColumn id="13" xr3:uid="{C4EDF2A3-3DDA-442B-A866-348FEE0D1D26}" name="otherNonOperatingIncome" dataDxfId="17"/>
    <tableColumn id="14" xr3:uid="{AC2A9318-9A85-4AF1-A2AD-F18A761D8C38}" name="depreciationAndAmortization" dataDxfId="16"/>
    <tableColumn id="15" xr3:uid="{B4FDE600-CFA5-4E1A-8CA5-E0C3212D1C78}" name="incomeBeforeTax" dataDxfId="15"/>
    <tableColumn id="16" xr3:uid="{71B5568B-38ED-481F-AA14-7441DD42151B}" name="incomeTaxExpense" dataDxfId="14"/>
    <tableColumn id="17" xr3:uid="{32AE5640-3ADF-4F85-9E8B-CAEAA4AC950E}" name="netIncomeFromContinuingOperations" dataDxfId="13"/>
    <tableColumn id="18" xr3:uid="{BE6F35B5-3EFD-4AFF-9122-BF15CB03817B}" name="ebit" dataDxfId="12"/>
    <tableColumn id="19" xr3:uid="{3B51DAB2-A0A7-44CE-9055-C07B32D90576}" name="ebitda" dataDxfId="11"/>
    <tableColumn id="20" xr3:uid="{1DD43C8E-C8A1-4524-969F-126FB2F4A0B5}" name="netIncome" dataDxfId="10"/>
    <tableColumn id="21" xr3:uid="{10775A51-6B47-48A5-A02D-0A2451892507}" name="Year" dataDxfId="9">
      <calculatedColumnFormula>YEAR(Financials[[#This Row],[fiscalDateEnding]])</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556F-E747-4CF1-89E1-2F77A50C4C92}">
  <dimension ref="A1:T21"/>
  <sheetViews>
    <sheetView workbookViewId="0">
      <selection activeCell="A2" sqref="A2"/>
    </sheetView>
  </sheetViews>
  <sheetFormatPr defaultRowHeight="14.4" x14ac:dyDescent="0.3"/>
  <cols>
    <col min="1" max="1" width="17.33203125" bestFit="1" customWidth="1"/>
    <col min="2" max="2" width="12.109375" bestFit="1" customWidth="1"/>
    <col min="3" max="3" width="14.109375" bestFit="1" customWidth="1"/>
    <col min="4" max="4" width="15.77734375" bestFit="1" customWidth="1"/>
    <col min="5" max="5" width="28.21875" bestFit="1" customWidth="1"/>
    <col min="6" max="6" width="17.44140625" bestFit="1" customWidth="1"/>
    <col min="7" max="7" width="31.21875" bestFit="1" customWidth="1"/>
    <col min="8" max="8" width="25.109375" bestFit="1" customWidth="1"/>
    <col min="9" max="9" width="19" bestFit="1" customWidth="1"/>
    <col min="10" max="10" width="18.6640625" bestFit="1" customWidth="1"/>
    <col min="11" max="11" width="16" bestFit="1" customWidth="1"/>
    <col min="12" max="12" width="16.6640625" bestFit="1" customWidth="1"/>
    <col min="13" max="13" width="25.6640625" bestFit="1" customWidth="1"/>
    <col min="14" max="14" width="28.33203125" bestFit="1" customWidth="1"/>
    <col min="15" max="15" width="17.6640625" bestFit="1" customWidth="1"/>
    <col min="16" max="16" width="19.21875" bestFit="1" customWidth="1"/>
    <col min="17" max="17" width="35.109375" bestFit="1" customWidth="1"/>
    <col min="18" max="19" width="12" bestFit="1" customWidth="1"/>
    <col min="20" max="20" width="12.109375" bestFit="1" customWidth="1"/>
    <col min="21" max="21" width="14.5546875" bestFit="1" customWidth="1"/>
    <col min="22" max="23" width="12" bestFit="1" customWidth="1"/>
    <col min="24" max="24" width="13.33203125" bestFit="1" customWidth="1"/>
    <col min="25" max="25" width="24.88671875" bestFit="1" customWidth="1"/>
    <col min="26" max="26" width="14.6640625" bestFit="1" customWidth="1"/>
    <col min="27" max="27" width="27.5546875" bestFit="1" customWidth="1"/>
    <col min="28" max="28" width="22.21875" bestFit="1" customWidth="1"/>
    <col min="29" max="29" width="16.21875" bestFit="1" customWidth="1"/>
    <col min="30" max="30" width="15.77734375" bestFit="1" customWidth="1"/>
    <col min="31" max="31" width="13.21875" bestFit="1" customWidth="1"/>
    <col min="32" max="32" width="13.88671875" bestFit="1" customWidth="1"/>
    <col min="33" max="33" width="22.77734375" bestFit="1" customWidth="1"/>
    <col min="34" max="34" width="24.6640625" bestFit="1" customWidth="1"/>
    <col min="35" max="35" width="15.109375" bestFit="1" customWidth="1"/>
    <col min="36" max="36" width="16.44140625" bestFit="1" customWidth="1"/>
    <col min="37" max="37" width="31.77734375" bestFit="1" customWidth="1"/>
    <col min="38" max="40" width="12" bestFit="1" customWidth="1"/>
    <col min="41" max="41" width="17.33203125" bestFit="1" customWidth="1"/>
    <col min="42" max="42" width="12.109375" bestFit="1" customWidth="1"/>
    <col min="43" max="43" width="14.109375" bestFit="1" customWidth="1"/>
    <col min="44" max="44" width="15.77734375" bestFit="1" customWidth="1"/>
    <col min="45" max="45" width="28.21875" bestFit="1" customWidth="1"/>
    <col min="46" max="46" width="17.44140625" bestFit="1" customWidth="1"/>
    <col min="47" max="47" width="31.21875" bestFit="1" customWidth="1"/>
    <col min="48" max="48" width="25.109375" bestFit="1" customWidth="1"/>
    <col min="49" max="49" width="19" bestFit="1" customWidth="1"/>
    <col min="50" max="50" width="18.6640625" bestFit="1" customWidth="1"/>
    <col min="51" max="51" width="16" bestFit="1" customWidth="1"/>
    <col min="52" max="52" width="16.6640625" bestFit="1" customWidth="1"/>
    <col min="53" max="53" width="25.6640625" bestFit="1" customWidth="1"/>
    <col min="54" max="54" width="28.33203125" bestFit="1" customWidth="1"/>
    <col min="55" max="55" width="17.6640625" bestFit="1" customWidth="1"/>
    <col min="56" max="56" width="19.21875" bestFit="1" customWidth="1"/>
    <col min="57" max="57" width="35.109375" bestFit="1" customWidth="1"/>
    <col min="58" max="59" width="12" bestFit="1" customWidth="1"/>
    <col min="60" max="60" width="12.109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s="1">
        <v>46022</v>
      </c>
      <c r="B2">
        <v>40185000000</v>
      </c>
      <c r="C2">
        <v>67535000000</v>
      </c>
      <c r="D2">
        <v>27350000000</v>
      </c>
      <c r="E2">
        <v>27350000000</v>
      </c>
      <c r="F2">
        <v>10325000000</v>
      </c>
      <c r="G2">
        <v>18285000000</v>
      </c>
      <c r="H2">
        <v>8320000000</v>
      </c>
      <c r="I2">
        <v>29860000000</v>
      </c>
      <c r="J2">
        <v>-1290000000</v>
      </c>
      <c r="K2">
        <v>645000000</v>
      </c>
      <c r="L2">
        <v>1935000000</v>
      </c>
      <c r="M2">
        <v>0</v>
      </c>
      <c r="N2">
        <v>5021000000</v>
      </c>
      <c r="O2">
        <v>10328000000</v>
      </c>
      <c r="P2">
        <v>-242000000</v>
      </c>
      <c r="Q2">
        <v>10571000000</v>
      </c>
      <c r="R2">
        <v>12263000000</v>
      </c>
      <c r="S2">
        <v>17284000000</v>
      </c>
      <c r="T2">
        <v>10593000000</v>
      </c>
    </row>
    <row r="3" spans="1:20" x14ac:dyDescent="0.3">
      <c r="A3" s="1">
        <v>45657</v>
      </c>
      <c r="B3">
        <v>35551000000</v>
      </c>
      <c r="C3">
        <v>62753000000</v>
      </c>
      <c r="D3">
        <v>27201000000</v>
      </c>
      <c r="E3">
        <v>27201000000</v>
      </c>
      <c r="F3">
        <v>10074000000</v>
      </c>
      <c r="G3">
        <v>16737000000</v>
      </c>
      <c r="H3">
        <v>7479000000</v>
      </c>
      <c r="I3">
        <v>25478000000</v>
      </c>
      <c r="J3">
        <v>-965000000</v>
      </c>
      <c r="K3">
        <v>747000000</v>
      </c>
      <c r="L3">
        <v>1712000000</v>
      </c>
      <c r="M3">
        <v>0</v>
      </c>
      <c r="N3">
        <v>4667000000</v>
      </c>
      <c r="O3">
        <v>5797000000</v>
      </c>
      <c r="P3">
        <v>-218000000</v>
      </c>
      <c r="Q3">
        <v>6015000000</v>
      </c>
      <c r="R3">
        <v>7509000000</v>
      </c>
      <c r="S3">
        <v>12176000000</v>
      </c>
      <c r="T3">
        <v>6023000000</v>
      </c>
    </row>
    <row r="4" spans="1:20" x14ac:dyDescent="0.3">
      <c r="A4" s="1">
        <v>45291</v>
      </c>
      <c r="B4">
        <v>34300000000</v>
      </c>
      <c r="C4">
        <v>61860000000</v>
      </c>
      <c r="D4">
        <v>27560000000</v>
      </c>
      <c r="E4">
        <v>27560000000</v>
      </c>
      <c r="F4">
        <v>7514000000</v>
      </c>
      <c r="G4">
        <v>17952000000</v>
      </c>
      <c r="H4">
        <v>6631000000</v>
      </c>
      <c r="I4">
        <v>26786000000</v>
      </c>
      <c r="J4">
        <v>-924000000</v>
      </c>
      <c r="K4">
        <v>591000000</v>
      </c>
      <c r="L4">
        <v>1607000000</v>
      </c>
      <c r="M4">
        <v>0</v>
      </c>
      <c r="N4">
        <v>4395000000</v>
      </c>
      <c r="O4">
        <v>8690000000</v>
      </c>
      <c r="P4">
        <v>1176000000</v>
      </c>
      <c r="Q4">
        <v>7099000000</v>
      </c>
      <c r="R4">
        <v>7514000000</v>
      </c>
      <c r="S4">
        <v>7514000000</v>
      </c>
      <c r="T4">
        <v>7502000000</v>
      </c>
    </row>
    <row r="5" spans="1:20" x14ac:dyDescent="0.3">
      <c r="A5" s="1">
        <v>44926</v>
      </c>
      <c r="B5">
        <v>32687000000</v>
      </c>
      <c r="C5">
        <v>60530000000</v>
      </c>
      <c r="D5">
        <v>27842000000</v>
      </c>
      <c r="E5">
        <v>27842000000</v>
      </c>
      <c r="F5">
        <v>8174000000</v>
      </c>
      <c r="G5">
        <v>16103000000</v>
      </c>
      <c r="H5">
        <v>6567000000</v>
      </c>
      <c r="I5">
        <v>24514000000</v>
      </c>
      <c r="J5">
        <v>-1216000000</v>
      </c>
      <c r="K5">
        <v>162000000</v>
      </c>
      <c r="L5">
        <v>1216000000</v>
      </c>
      <c r="M5">
        <v>0</v>
      </c>
      <c r="N5">
        <v>4802000000</v>
      </c>
      <c r="O5">
        <v>1156000000</v>
      </c>
      <c r="P5">
        <v>-626000000</v>
      </c>
      <c r="Q5">
        <v>1782000000</v>
      </c>
      <c r="R5">
        <v>2372000000</v>
      </c>
      <c r="S5">
        <v>7174000000</v>
      </c>
      <c r="T5">
        <v>1640000000</v>
      </c>
    </row>
    <row r="6" spans="1:20" x14ac:dyDescent="0.3">
      <c r="A6" s="1">
        <v>44561</v>
      </c>
      <c r="B6">
        <v>31486000000</v>
      </c>
      <c r="C6">
        <v>57351000000</v>
      </c>
      <c r="D6">
        <v>25865000000</v>
      </c>
      <c r="E6">
        <v>25865000000</v>
      </c>
      <c r="F6">
        <v>6832000000</v>
      </c>
      <c r="G6">
        <v>17699000000</v>
      </c>
      <c r="H6">
        <v>6488000000</v>
      </c>
      <c r="I6">
        <v>24654000000</v>
      </c>
      <c r="J6">
        <v>-1103000000</v>
      </c>
      <c r="K6">
        <v>52000000</v>
      </c>
      <c r="L6">
        <v>1155000000</v>
      </c>
      <c r="M6">
        <v>-873000000</v>
      </c>
      <c r="N6">
        <v>6417000000</v>
      </c>
      <c r="O6">
        <v>4837000000</v>
      </c>
      <c r="P6">
        <v>124000000</v>
      </c>
      <c r="Q6">
        <v>4712000000</v>
      </c>
      <c r="R6">
        <v>7021000000</v>
      </c>
      <c r="S6">
        <v>13438000000</v>
      </c>
      <c r="T6">
        <v>5742000000</v>
      </c>
    </row>
    <row r="7" spans="1:20" x14ac:dyDescent="0.3">
      <c r="A7" s="1">
        <v>44196</v>
      </c>
      <c r="B7">
        <v>35575000000</v>
      </c>
      <c r="C7">
        <v>73621000000</v>
      </c>
      <c r="D7">
        <v>38046000000</v>
      </c>
      <c r="E7">
        <v>38046000000</v>
      </c>
      <c r="F7">
        <v>6895000000</v>
      </c>
      <c r="G7">
        <v>20308000000</v>
      </c>
      <c r="H7">
        <v>6333000000</v>
      </c>
      <c r="I7">
        <v>28680000000</v>
      </c>
      <c r="J7">
        <v>-1183000000</v>
      </c>
      <c r="K7">
        <v>105000000</v>
      </c>
      <c r="L7">
        <v>1288000000</v>
      </c>
      <c r="M7">
        <v>-861000000</v>
      </c>
      <c r="N7">
        <v>6695000000</v>
      </c>
      <c r="O7">
        <v>4637000000</v>
      </c>
      <c r="P7">
        <v>-864000000</v>
      </c>
      <c r="Q7">
        <v>5501000000</v>
      </c>
      <c r="R7">
        <v>6014000000</v>
      </c>
      <c r="S7">
        <v>12709000000</v>
      </c>
      <c r="T7">
        <v>5590000000</v>
      </c>
    </row>
    <row r="8" spans="1:20" x14ac:dyDescent="0.3">
      <c r="A8" s="1">
        <v>43830</v>
      </c>
      <c r="B8">
        <v>31533000000</v>
      </c>
      <c r="C8">
        <v>57714000000</v>
      </c>
      <c r="D8">
        <v>26181000000</v>
      </c>
      <c r="E8">
        <v>26181000000</v>
      </c>
      <c r="F8">
        <v>7538000000</v>
      </c>
      <c r="G8">
        <v>17215000000</v>
      </c>
      <c r="H8">
        <v>5910000000</v>
      </c>
      <c r="I8">
        <v>23995000000</v>
      </c>
      <c r="J8">
        <v>-995000000</v>
      </c>
      <c r="K8">
        <v>349000000</v>
      </c>
      <c r="L8">
        <v>1022000000</v>
      </c>
      <c r="M8">
        <v>968000000</v>
      </c>
      <c r="N8">
        <v>6059000000</v>
      </c>
      <c r="O8">
        <v>7206000000</v>
      </c>
      <c r="P8">
        <v>60000000</v>
      </c>
      <c r="Q8">
        <v>9435000000</v>
      </c>
      <c r="R8">
        <v>8550000000</v>
      </c>
      <c r="S8">
        <v>14609000000</v>
      </c>
      <c r="T8">
        <v>9431000000</v>
      </c>
    </row>
    <row r="9" spans="1:20" x14ac:dyDescent="0.3">
      <c r="A9" s="1">
        <v>43465</v>
      </c>
      <c r="B9">
        <v>36936000000</v>
      </c>
      <c r="C9">
        <v>79591000000</v>
      </c>
      <c r="D9">
        <v>42655000000</v>
      </c>
      <c r="E9">
        <v>42655000000</v>
      </c>
      <c r="F9">
        <v>13217000000</v>
      </c>
      <c r="G9">
        <v>17900000000</v>
      </c>
      <c r="H9">
        <v>5379000000</v>
      </c>
      <c r="I9">
        <v>23719000000</v>
      </c>
      <c r="J9">
        <v>-459000000</v>
      </c>
      <c r="K9">
        <v>264000000</v>
      </c>
      <c r="L9">
        <v>686000000</v>
      </c>
      <c r="M9">
        <v>-1152000000</v>
      </c>
      <c r="N9">
        <v>4480000000</v>
      </c>
      <c r="O9">
        <v>11342000000</v>
      </c>
      <c r="P9">
        <v>2619000000</v>
      </c>
      <c r="Q9">
        <v>8723000000</v>
      </c>
      <c r="R9">
        <v>12065000000</v>
      </c>
      <c r="S9">
        <v>16545000000</v>
      </c>
      <c r="T9">
        <v>8728000000</v>
      </c>
    </row>
    <row r="10" spans="1:20" x14ac:dyDescent="0.3">
      <c r="A10" s="1">
        <v>43100</v>
      </c>
      <c r="B10">
        <v>36943000000</v>
      </c>
      <c r="C10">
        <v>79139000000</v>
      </c>
      <c r="D10">
        <v>42196000000</v>
      </c>
      <c r="E10">
        <v>42196000000</v>
      </c>
      <c r="F10">
        <v>13139000000</v>
      </c>
      <c r="G10">
        <v>17911000000</v>
      </c>
      <c r="H10">
        <v>5590000000</v>
      </c>
      <c r="I10">
        <v>23804000000</v>
      </c>
      <c r="J10">
        <v>-471000000</v>
      </c>
      <c r="K10">
        <v>144000000</v>
      </c>
      <c r="L10">
        <v>663000000</v>
      </c>
      <c r="M10">
        <v>216000000</v>
      </c>
      <c r="N10">
        <v>4541000000</v>
      </c>
      <c r="O10">
        <v>11400000000</v>
      </c>
      <c r="P10">
        <v>5642000000</v>
      </c>
      <c r="Q10">
        <v>5758000000</v>
      </c>
      <c r="R10">
        <v>12015000000</v>
      </c>
      <c r="S10">
        <v>16556000000</v>
      </c>
      <c r="T10">
        <v>5753000000</v>
      </c>
    </row>
    <row r="11" spans="1:20" x14ac:dyDescent="0.3">
      <c r="A11" s="1">
        <v>42735</v>
      </c>
      <c r="B11">
        <v>38516000000</v>
      </c>
      <c r="C11">
        <v>79920000000</v>
      </c>
      <c r="D11">
        <v>41403000000</v>
      </c>
      <c r="E11">
        <v>41403000000</v>
      </c>
      <c r="F11">
        <v>14677000000</v>
      </c>
      <c r="G11">
        <v>18952000000</v>
      </c>
      <c r="H11">
        <v>5726000000</v>
      </c>
      <c r="I11">
        <v>24878000000</v>
      </c>
      <c r="J11">
        <v>-522000000</v>
      </c>
      <c r="K11">
        <v>108000000</v>
      </c>
      <c r="L11">
        <v>630000000</v>
      </c>
      <c r="M11">
        <v>-145000000</v>
      </c>
      <c r="N11">
        <v>4381000000</v>
      </c>
      <c r="O11">
        <v>12330000000</v>
      </c>
      <c r="P11">
        <v>449000000</v>
      </c>
      <c r="Q11">
        <v>11881000000</v>
      </c>
      <c r="R11">
        <v>12960000000</v>
      </c>
      <c r="S11">
        <v>17341000000</v>
      </c>
      <c r="T11">
        <v>11872000000</v>
      </c>
    </row>
    <row r="12" spans="1:20" x14ac:dyDescent="0.3">
      <c r="A12" s="1">
        <v>42369</v>
      </c>
      <c r="B12">
        <v>40684000000</v>
      </c>
      <c r="C12">
        <v>81742000000</v>
      </c>
      <c r="D12">
        <v>41057000000</v>
      </c>
      <c r="E12">
        <v>41057000000</v>
      </c>
      <c r="F12">
        <v>16508000000</v>
      </c>
      <c r="G12">
        <v>18604000000</v>
      </c>
      <c r="H12">
        <v>5247000000</v>
      </c>
      <c r="I12">
        <v>24764000000</v>
      </c>
      <c r="J12">
        <v>0</v>
      </c>
      <c r="K12">
        <v>0</v>
      </c>
      <c r="L12">
        <v>468000000</v>
      </c>
      <c r="M12">
        <v>724000000</v>
      </c>
      <c r="N12">
        <v>3855000000</v>
      </c>
      <c r="O12">
        <v>15945000000</v>
      </c>
      <c r="P12">
        <v>2581000000</v>
      </c>
      <c r="Q12">
        <v>13364000000</v>
      </c>
      <c r="R12">
        <v>16413000000</v>
      </c>
      <c r="S12">
        <v>20268000000</v>
      </c>
      <c r="T12">
        <v>13190000000</v>
      </c>
    </row>
    <row r="13" spans="1:20" x14ac:dyDescent="0.3">
      <c r="A13" s="1">
        <v>42004</v>
      </c>
      <c r="B13">
        <v>46407000000</v>
      </c>
      <c r="C13">
        <v>92793000000</v>
      </c>
      <c r="D13">
        <v>46386000000</v>
      </c>
      <c r="E13">
        <v>46386000000</v>
      </c>
      <c r="F13">
        <v>20338000000</v>
      </c>
      <c r="G13">
        <v>21165000000</v>
      </c>
      <c r="H13">
        <v>5437000000</v>
      </c>
      <c r="I13">
        <v>27541000000</v>
      </c>
      <c r="J13">
        <v>0</v>
      </c>
      <c r="K13">
        <v>0</v>
      </c>
      <c r="L13">
        <v>484000000</v>
      </c>
      <c r="M13">
        <v>1938000000</v>
      </c>
      <c r="N13">
        <v>4492000000</v>
      </c>
      <c r="O13">
        <v>19986000000</v>
      </c>
      <c r="P13">
        <v>4234000000</v>
      </c>
      <c r="Q13">
        <v>15751000000</v>
      </c>
      <c r="R13">
        <v>20470000000</v>
      </c>
      <c r="S13">
        <v>24962000000</v>
      </c>
      <c r="T13">
        <v>12022000000</v>
      </c>
    </row>
    <row r="14" spans="1:20" x14ac:dyDescent="0.3">
      <c r="A14" s="1">
        <v>41639</v>
      </c>
      <c r="B14">
        <v>48684000000</v>
      </c>
      <c r="C14">
        <v>98368000000</v>
      </c>
      <c r="D14">
        <v>49683000000</v>
      </c>
      <c r="E14">
        <v>49683000000</v>
      </c>
      <c r="F14">
        <v>21500000000</v>
      </c>
      <c r="G14">
        <v>21630000000</v>
      </c>
      <c r="H14">
        <v>5743000000</v>
      </c>
      <c r="I14">
        <v>28216000000</v>
      </c>
      <c r="J14">
        <v>0</v>
      </c>
      <c r="K14">
        <v>0</v>
      </c>
      <c r="L14">
        <v>402000000</v>
      </c>
      <c r="M14">
        <v>327000000</v>
      </c>
      <c r="N14">
        <v>4678000000</v>
      </c>
      <c r="O14">
        <v>20244000000</v>
      </c>
      <c r="P14">
        <v>3363000000</v>
      </c>
      <c r="Q14">
        <v>16483000000</v>
      </c>
      <c r="R14">
        <v>20646000000</v>
      </c>
      <c r="S14">
        <v>25324000000</v>
      </c>
      <c r="T14">
        <v>16483000000</v>
      </c>
    </row>
    <row r="15" spans="1:20" x14ac:dyDescent="0.3">
      <c r="A15" s="1">
        <v>41274</v>
      </c>
      <c r="B15">
        <v>50361000000</v>
      </c>
      <c r="C15">
        <v>102874000000</v>
      </c>
      <c r="D15">
        <v>52513000000</v>
      </c>
      <c r="E15">
        <v>52513000000</v>
      </c>
      <c r="F15">
        <v>22990000000</v>
      </c>
      <c r="G15">
        <v>21746000000</v>
      </c>
      <c r="H15">
        <v>5816000000</v>
      </c>
      <c r="I15">
        <v>28155000000</v>
      </c>
      <c r="J15">
        <v>0</v>
      </c>
      <c r="K15">
        <v>0</v>
      </c>
      <c r="L15">
        <v>459000000</v>
      </c>
      <c r="M15">
        <v>843000000</v>
      </c>
      <c r="N15">
        <v>4676000000</v>
      </c>
      <c r="O15">
        <v>22540000000</v>
      </c>
      <c r="P15">
        <v>5541000000</v>
      </c>
      <c r="Q15">
        <v>16604000000</v>
      </c>
      <c r="R15">
        <v>22999000000</v>
      </c>
      <c r="S15">
        <v>27675000000</v>
      </c>
      <c r="T15">
        <v>16604000000</v>
      </c>
    </row>
    <row r="16" spans="1:20" x14ac:dyDescent="0.3">
      <c r="A16" s="1">
        <v>40908</v>
      </c>
      <c r="B16">
        <v>50138000000</v>
      </c>
      <c r="C16">
        <v>106916000000</v>
      </c>
      <c r="D16">
        <v>56778000000</v>
      </c>
      <c r="E16">
        <v>56778000000</v>
      </c>
      <c r="F16">
        <v>21922000000</v>
      </c>
      <c r="G16">
        <v>21844000000</v>
      </c>
      <c r="H16">
        <v>6258000000</v>
      </c>
      <c r="I16">
        <v>28656000000</v>
      </c>
      <c r="J16">
        <v>0</v>
      </c>
      <c r="K16">
        <v>0</v>
      </c>
      <c r="L16">
        <v>411000000</v>
      </c>
      <c r="M16">
        <v>20000000</v>
      </c>
      <c r="N16">
        <v>4815000000</v>
      </c>
      <c r="O16">
        <v>21003000000</v>
      </c>
      <c r="P16">
        <v>5148000000</v>
      </c>
      <c r="Q16">
        <v>15855000000</v>
      </c>
      <c r="R16">
        <v>21414000000</v>
      </c>
      <c r="S16">
        <v>26229000000</v>
      </c>
      <c r="T16">
        <v>15855000000</v>
      </c>
    </row>
    <row r="17" spans="1:20" x14ac:dyDescent="0.3">
      <c r="A17" s="1">
        <v>40543</v>
      </c>
      <c r="B17">
        <v>46014000000</v>
      </c>
      <c r="C17">
        <v>99871000000</v>
      </c>
      <c r="D17">
        <v>53857000000</v>
      </c>
      <c r="E17">
        <v>53857000000</v>
      </c>
      <c r="F17">
        <v>19985000000</v>
      </c>
      <c r="G17">
        <v>20208000000</v>
      </c>
      <c r="H17">
        <v>6026000000</v>
      </c>
      <c r="I17">
        <v>26670000000</v>
      </c>
      <c r="J17">
        <v>0</v>
      </c>
      <c r="K17">
        <v>0</v>
      </c>
      <c r="L17">
        <v>368000000</v>
      </c>
      <c r="M17">
        <v>787000000</v>
      </c>
      <c r="N17">
        <v>4831000000</v>
      </c>
      <c r="O17">
        <v>19723000000</v>
      </c>
      <c r="P17">
        <v>4890000000</v>
      </c>
      <c r="Q17">
        <v>14833000000</v>
      </c>
      <c r="R17">
        <v>20091000000</v>
      </c>
      <c r="S17">
        <v>24922000000</v>
      </c>
      <c r="T17">
        <v>14833000000</v>
      </c>
    </row>
    <row r="18" spans="1:20" x14ac:dyDescent="0.3">
      <c r="A18" s="1">
        <v>40178</v>
      </c>
      <c r="B18">
        <v>43785000000</v>
      </c>
      <c r="C18">
        <v>95758000000</v>
      </c>
      <c r="D18">
        <v>51973000000</v>
      </c>
      <c r="E18">
        <v>51973000000</v>
      </c>
      <c r="F18">
        <v>17012000000</v>
      </c>
      <c r="G18">
        <v>19269000000</v>
      </c>
      <c r="H18">
        <v>5820000000</v>
      </c>
      <c r="I18">
        <v>26773000000</v>
      </c>
      <c r="J18">
        <v>0</v>
      </c>
      <c r="K18">
        <v>0</v>
      </c>
      <c r="L18">
        <v>402000000</v>
      </c>
      <c r="M18">
        <v>351000000</v>
      </c>
      <c r="N18">
        <v>4994000000</v>
      </c>
      <c r="O18">
        <v>18138000000</v>
      </c>
      <c r="P18">
        <v>4713000000</v>
      </c>
      <c r="Q18">
        <v>13425000000</v>
      </c>
      <c r="R18">
        <v>18540000000</v>
      </c>
      <c r="S18">
        <v>23534000000</v>
      </c>
      <c r="T18">
        <v>13425000000</v>
      </c>
    </row>
    <row r="19" spans="1:20" x14ac:dyDescent="0.3">
      <c r="A19" s="1">
        <v>39813</v>
      </c>
      <c r="B19">
        <v>45661000000</v>
      </c>
      <c r="C19">
        <v>103630000000</v>
      </c>
      <c r="D19">
        <v>57969000000</v>
      </c>
      <c r="E19">
        <v>57969000000</v>
      </c>
      <c r="F19">
        <v>15939000000</v>
      </c>
      <c r="G19">
        <v>21514000000</v>
      </c>
      <c r="H19">
        <v>6337000000</v>
      </c>
      <c r="I19">
        <v>29722000000</v>
      </c>
      <c r="J19">
        <v>0</v>
      </c>
      <c r="K19">
        <v>0</v>
      </c>
      <c r="L19">
        <v>673000000</v>
      </c>
      <c r="M19">
        <v>0</v>
      </c>
      <c r="N19">
        <v>5450000000</v>
      </c>
      <c r="O19">
        <v>16715000000</v>
      </c>
      <c r="P19">
        <v>4381000000</v>
      </c>
      <c r="Q19">
        <v>0</v>
      </c>
      <c r="R19">
        <v>17388000000</v>
      </c>
      <c r="S19">
        <v>22838000000</v>
      </c>
      <c r="T19">
        <v>12334000000</v>
      </c>
    </row>
    <row r="20" spans="1:20" x14ac:dyDescent="0.3">
      <c r="A20" s="1">
        <v>39447</v>
      </c>
      <c r="B20">
        <v>41729000000</v>
      </c>
      <c r="C20">
        <v>98786000000</v>
      </c>
      <c r="D20">
        <v>57057000000</v>
      </c>
      <c r="E20">
        <v>57057000000</v>
      </c>
      <c r="F20">
        <v>13516000000</v>
      </c>
      <c r="G20">
        <v>22060000000</v>
      </c>
      <c r="H20">
        <v>6153000000</v>
      </c>
      <c r="I20">
        <v>28213000000</v>
      </c>
      <c r="J20">
        <v>0</v>
      </c>
      <c r="K20">
        <v>0</v>
      </c>
      <c r="L20">
        <v>611000000</v>
      </c>
      <c r="M20">
        <v>0</v>
      </c>
      <c r="N20">
        <v>5201000000</v>
      </c>
      <c r="O20">
        <v>14489000000</v>
      </c>
      <c r="P20">
        <v>4071000000</v>
      </c>
      <c r="Q20">
        <v>0</v>
      </c>
      <c r="R20">
        <v>15100000000</v>
      </c>
      <c r="S20">
        <v>20301000000</v>
      </c>
      <c r="T20">
        <v>10418000000</v>
      </c>
    </row>
    <row r="21" spans="1:20" x14ac:dyDescent="0.3">
      <c r="A21" s="1">
        <v>39082</v>
      </c>
      <c r="B21">
        <v>38295000000</v>
      </c>
      <c r="C21">
        <v>91424000000</v>
      </c>
      <c r="D21">
        <v>53129000000</v>
      </c>
      <c r="E21">
        <v>53129000000</v>
      </c>
      <c r="F21">
        <v>11929000000</v>
      </c>
      <c r="G21">
        <v>20259000000</v>
      </c>
      <c r="H21">
        <v>6107000000</v>
      </c>
      <c r="I21">
        <v>26366000000</v>
      </c>
      <c r="J21">
        <v>0</v>
      </c>
      <c r="K21">
        <v>0</v>
      </c>
      <c r="L21">
        <v>278000000</v>
      </c>
      <c r="M21">
        <v>0</v>
      </c>
      <c r="N21">
        <v>4983000000</v>
      </c>
      <c r="O21">
        <v>13317000000</v>
      </c>
      <c r="P21">
        <v>3901000000</v>
      </c>
      <c r="Q21">
        <v>0</v>
      </c>
      <c r="R21">
        <v>13595000000</v>
      </c>
      <c r="S21">
        <v>18578000000</v>
      </c>
      <c r="T21">
        <v>9492000000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733F-B34F-4CFA-B6B1-687A8DA10256}">
  <dimension ref="B1:V21"/>
  <sheetViews>
    <sheetView topLeftCell="C1" workbookViewId="0">
      <selection activeCell="D27" sqref="D27"/>
    </sheetView>
  </sheetViews>
  <sheetFormatPr defaultRowHeight="14.4" x14ac:dyDescent="0.3"/>
  <cols>
    <col min="2" max="2" width="17.33203125" bestFit="1" customWidth="1"/>
    <col min="3" max="3" width="12.109375" bestFit="1" customWidth="1"/>
    <col min="4" max="4" width="18.5546875" bestFit="1" customWidth="1"/>
    <col min="5" max="5" width="15.77734375" bestFit="1" customWidth="1"/>
    <col min="6" max="6" width="28.21875" bestFit="1" customWidth="1"/>
    <col min="7" max="7" width="17.44140625" bestFit="1" customWidth="1"/>
    <col min="8" max="8" width="31.21875" bestFit="1" customWidth="1"/>
    <col min="9" max="9" width="25.109375" bestFit="1" customWidth="1"/>
    <col min="10" max="10" width="19" bestFit="1" customWidth="1"/>
    <col min="11" max="11" width="18.6640625" bestFit="1" customWidth="1"/>
    <col min="12" max="12" width="16" bestFit="1" customWidth="1"/>
    <col min="13" max="13" width="16.6640625" bestFit="1" customWidth="1"/>
    <col min="14" max="14" width="25.6640625" bestFit="1" customWidth="1"/>
    <col min="15" max="15" width="28.33203125" bestFit="1" customWidth="1"/>
    <col min="16" max="16" width="17.6640625" bestFit="1" customWidth="1"/>
    <col min="17" max="17" width="19.21875" bestFit="1" customWidth="1"/>
    <col min="18" max="18" width="35.109375" bestFit="1" customWidth="1"/>
    <col min="19" max="20" width="12" bestFit="1" customWidth="1"/>
    <col min="21" max="21" width="12.109375" bestFit="1" customWidth="1"/>
    <col min="22" max="22" width="16.5546875" customWidth="1"/>
  </cols>
  <sheetData>
    <row r="1" spans="2:22" x14ac:dyDescent="0.3">
      <c r="B1" s="9" t="s">
        <v>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28</v>
      </c>
    </row>
    <row r="2" spans="2:22" x14ac:dyDescent="0.3">
      <c r="B2" s="10">
        <v>46022</v>
      </c>
      <c r="C2" s="3">
        <v>40185000000</v>
      </c>
      <c r="D2" s="17">
        <v>67535000000</v>
      </c>
      <c r="E2" s="3">
        <v>27350000000</v>
      </c>
      <c r="F2" s="3">
        <v>27350000000</v>
      </c>
      <c r="G2" s="3">
        <v>10325000000</v>
      </c>
      <c r="H2" s="3">
        <v>18285000000</v>
      </c>
      <c r="I2" s="3">
        <v>8320000000</v>
      </c>
      <c r="J2" s="3">
        <v>29860000000</v>
      </c>
      <c r="K2" s="3">
        <v>-1290000000</v>
      </c>
      <c r="L2" s="3">
        <v>645000000</v>
      </c>
      <c r="M2" s="3">
        <v>1935000000</v>
      </c>
      <c r="N2" s="3">
        <v>0</v>
      </c>
      <c r="O2" s="3">
        <v>5021000000</v>
      </c>
      <c r="P2" s="3">
        <v>10328000000</v>
      </c>
      <c r="Q2" s="3">
        <v>-242000000</v>
      </c>
      <c r="R2" s="3">
        <v>10571000000</v>
      </c>
      <c r="S2" s="3">
        <v>12263000000</v>
      </c>
      <c r="T2" s="3">
        <v>17284000000</v>
      </c>
      <c r="U2" s="3">
        <v>10593000000</v>
      </c>
      <c r="V2" s="4">
        <f>YEAR(Financials[[#This Row],[fiscalDateEnding]])</f>
        <v>2025</v>
      </c>
    </row>
    <row r="3" spans="2:22" x14ac:dyDescent="0.3">
      <c r="B3" s="11">
        <v>45657</v>
      </c>
      <c r="C3" s="2">
        <v>35551000000</v>
      </c>
      <c r="D3" s="18">
        <v>62753000000</v>
      </c>
      <c r="E3" s="2">
        <v>27201000000</v>
      </c>
      <c r="F3" s="2">
        <v>27201000000</v>
      </c>
      <c r="G3" s="2">
        <v>10074000000</v>
      </c>
      <c r="H3" s="2">
        <v>16737000000</v>
      </c>
      <c r="I3" s="2">
        <v>7479000000</v>
      </c>
      <c r="J3" s="2">
        <v>25478000000</v>
      </c>
      <c r="K3" s="2">
        <v>-965000000</v>
      </c>
      <c r="L3" s="2">
        <v>747000000</v>
      </c>
      <c r="M3" s="2">
        <v>1712000000</v>
      </c>
      <c r="N3" s="2">
        <v>0</v>
      </c>
      <c r="O3" s="2">
        <v>4667000000</v>
      </c>
      <c r="P3" s="2">
        <v>5797000000</v>
      </c>
      <c r="Q3" s="2">
        <v>-218000000</v>
      </c>
      <c r="R3" s="2">
        <v>6015000000</v>
      </c>
      <c r="S3" s="2">
        <v>7509000000</v>
      </c>
      <c r="T3" s="2">
        <v>12176000000</v>
      </c>
      <c r="U3" s="2">
        <v>6023000000</v>
      </c>
      <c r="V3" s="2">
        <f>YEAR(Financials[[#This Row],[fiscalDateEnding]])</f>
        <v>2024</v>
      </c>
    </row>
    <row r="4" spans="2:22" x14ac:dyDescent="0.3">
      <c r="B4" s="10">
        <v>45291</v>
      </c>
      <c r="C4" s="3">
        <v>34300000000</v>
      </c>
      <c r="D4" s="17">
        <v>61860000000</v>
      </c>
      <c r="E4" s="3">
        <v>27560000000</v>
      </c>
      <c r="F4" s="3">
        <v>27560000000</v>
      </c>
      <c r="G4" s="3">
        <v>7514000000</v>
      </c>
      <c r="H4" s="3">
        <v>17952000000</v>
      </c>
      <c r="I4" s="3">
        <v>6631000000</v>
      </c>
      <c r="J4" s="3">
        <v>26786000000</v>
      </c>
      <c r="K4" s="3">
        <v>-924000000</v>
      </c>
      <c r="L4" s="3">
        <v>591000000</v>
      </c>
      <c r="M4" s="3">
        <v>1607000000</v>
      </c>
      <c r="N4" s="3">
        <v>0</v>
      </c>
      <c r="O4" s="3">
        <v>4395000000</v>
      </c>
      <c r="P4" s="3">
        <v>8690000000</v>
      </c>
      <c r="Q4" s="3">
        <v>1176000000</v>
      </c>
      <c r="R4" s="3">
        <v>7099000000</v>
      </c>
      <c r="S4" s="3">
        <v>7514000000</v>
      </c>
      <c r="T4" s="3">
        <v>7514000000</v>
      </c>
      <c r="U4" s="3">
        <v>7502000000</v>
      </c>
      <c r="V4" s="2">
        <f>YEAR(Financials[[#This Row],[fiscalDateEnding]])</f>
        <v>2023</v>
      </c>
    </row>
    <row r="5" spans="2:22" x14ac:dyDescent="0.3">
      <c r="B5" s="11">
        <v>44926</v>
      </c>
      <c r="C5" s="2">
        <v>32687000000</v>
      </c>
      <c r="D5" s="18">
        <v>60530000000</v>
      </c>
      <c r="E5" s="2">
        <v>27842000000</v>
      </c>
      <c r="F5" s="2">
        <v>27842000000</v>
      </c>
      <c r="G5" s="2">
        <v>8174000000</v>
      </c>
      <c r="H5" s="2">
        <v>16103000000</v>
      </c>
      <c r="I5" s="2">
        <v>6567000000</v>
      </c>
      <c r="J5" s="2">
        <v>24514000000</v>
      </c>
      <c r="K5" s="2">
        <v>-1216000000</v>
      </c>
      <c r="L5" s="2">
        <v>162000000</v>
      </c>
      <c r="M5" s="2">
        <v>1216000000</v>
      </c>
      <c r="N5" s="2">
        <v>0</v>
      </c>
      <c r="O5" s="2">
        <v>4802000000</v>
      </c>
      <c r="P5" s="2">
        <v>1156000000</v>
      </c>
      <c r="Q5" s="2">
        <v>-626000000</v>
      </c>
      <c r="R5" s="2">
        <v>1782000000</v>
      </c>
      <c r="S5" s="2">
        <v>2372000000</v>
      </c>
      <c r="T5" s="2">
        <v>7174000000</v>
      </c>
      <c r="U5" s="2">
        <v>1640000000</v>
      </c>
      <c r="V5" s="2">
        <f>YEAR(Financials[[#This Row],[fiscalDateEnding]])</f>
        <v>2022</v>
      </c>
    </row>
    <row r="6" spans="2:22" x14ac:dyDescent="0.3">
      <c r="B6" s="10">
        <v>44561</v>
      </c>
      <c r="C6" s="3">
        <v>31486000000</v>
      </c>
      <c r="D6" s="17">
        <v>57351000000</v>
      </c>
      <c r="E6" s="3">
        <v>25865000000</v>
      </c>
      <c r="F6" s="3">
        <v>25865000000</v>
      </c>
      <c r="G6" s="3">
        <v>6832000000</v>
      </c>
      <c r="H6" s="3">
        <v>17699000000</v>
      </c>
      <c r="I6" s="3">
        <v>6488000000</v>
      </c>
      <c r="J6" s="3">
        <v>24654000000</v>
      </c>
      <c r="K6" s="3">
        <v>-1103000000</v>
      </c>
      <c r="L6" s="3">
        <v>52000000</v>
      </c>
      <c r="M6" s="3">
        <v>1155000000</v>
      </c>
      <c r="N6" s="3">
        <v>-873000000</v>
      </c>
      <c r="O6" s="3">
        <v>6417000000</v>
      </c>
      <c r="P6" s="3">
        <v>4837000000</v>
      </c>
      <c r="Q6" s="3">
        <v>124000000</v>
      </c>
      <c r="R6" s="3">
        <v>4712000000</v>
      </c>
      <c r="S6" s="3">
        <v>7021000000</v>
      </c>
      <c r="T6" s="3">
        <v>13438000000</v>
      </c>
      <c r="U6" s="3">
        <v>5742000000</v>
      </c>
      <c r="V6" s="2">
        <f>YEAR(Financials[[#This Row],[fiscalDateEnding]])</f>
        <v>2021</v>
      </c>
    </row>
    <row r="7" spans="2:22" x14ac:dyDescent="0.3">
      <c r="B7" s="11">
        <v>44196</v>
      </c>
      <c r="C7" s="2">
        <v>35575000000</v>
      </c>
      <c r="D7" s="18">
        <v>73621000000</v>
      </c>
      <c r="E7" s="2">
        <v>38046000000</v>
      </c>
      <c r="F7" s="2">
        <v>38046000000</v>
      </c>
      <c r="G7" s="2">
        <v>6895000000</v>
      </c>
      <c r="H7" s="2">
        <v>20308000000</v>
      </c>
      <c r="I7" s="2">
        <v>6333000000</v>
      </c>
      <c r="J7" s="2">
        <v>28680000000</v>
      </c>
      <c r="K7" s="2">
        <v>-1183000000</v>
      </c>
      <c r="L7" s="2">
        <v>105000000</v>
      </c>
      <c r="M7" s="2">
        <v>1288000000</v>
      </c>
      <c r="N7" s="2">
        <v>-861000000</v>
      </c>
      <c r="O7" s="2">
        <v>6695000000</v>
      </c>
      <c r="P7" s="2">
        <v>4637000000</v>
      </c>
      <c r="Q7" s="2">
        <v>-864000000</v>
      </c>
      <c r="R7" s="2">
        <v>5501000000</v>
      </c>
      <c r="S7" s="2">
        <v>6014000000</v>
      </c>
      <c r="T7" s="2">
        <v>12709000000</v>
      </c>
      <c r="U7" s="2">
        <v>5590000000</v>
      </c>
      <c r="V7" s="2">
        <f>YEAR(Financials[[#This Row],[fiscalDateEnding]])</f>
        <v>2020</v>
      </c>
    </row>
    <row r="8" spans="2:22" x14ac:dyDescent="0.3">
      <c r="B8" s="10">
        <v>43830</v>
      </c>
      <c r="C8" s="3">
        <v>31533000000</v>
      </c>
      <c r="D8" s="17">
        <v>57714000000</v>
      </c>
      <c r="E8" s="3">
        <v>26181000000</v>
      </c>
      <c r="F8" s="3">
        <v>26181000000</v>
      </c>
      <c r="G8" s="3">
        <v>7538000000</v>
      </c>
      <c r="H8" s="3">
        <v>17215000000</v>
      </c>
      <c r="I8" s="3">
        <v>5910000000</v>
      </c>
      <c r="J8" s="3">
        <v>23995000000</v>
      </c>
      <c r="K8" s="3">
        <v>-995000000</v>
      </c>
      <c r="L8" s="3">
        <v>349000000</v>
      </c>
      <c r="M8" s="3">
        <v>1022000000</v>
      </c>
      <c r="N8" s="3">
        <v>968000000</v>
      </c>
      <c r="O8" s="3">
        <v>6059000000</v>
      </c>
      <c r="P8" s="3">
        <v>7206000000</v>
      </c>
      <c r="Q8" s="3">
        <v>60000000</v>
      </c>
      <c r="R8" s="3">
        <v>9435000000</v>
      </c>
      <c r="S8" s="3">
        <v>8550000000</v>
      </c>
      <c r="T8" s="3">
        <v>14609000000</v>
      </c>
      <c r="U8" s="3">
        <v>9431000000</v>
      </c>
      <c r="V8" s="2">
        <f>YEAR(Financials[[#This Row],[fiscalDateEnding]])</f>
        <v>2019</v>
      </c>
    </row>
    <row r="9" spans="2:22" x14ac:dyDescent="0.3">
      <c r="B9" s="11">
        <v>43465</v>
      </c>
      <c r="C9" s="2">
        <v>36936000000</v>
      </c>
      <c r="D9" s="18">
        <v>79591000000</v>
      </c>
      <c r="E9" s="2">
        <v>42655000000</v>
      </c>
      <c r="F9" s="2">
        <v>42655000000</v>
      </c>
      <c r="G9" s="2">
        <v>13217000000</v>
      </c>
      <c r="H9" s="2">
        <v>17900000000</v>
      </c>
      <c r="I9" s="2">
        <v>5379000000</v>
      </c>
      <c r="J9" s="2">
        <v>23719000000</v>
      </c>
      <c r="K9" s="2">
        <v>-459000000</v>
      </c>
      <c r="L9" s="2">
        <v>264000000</v>
      </c>
      <c r="M9" s="2">
        <v>686000000</v>
      </c>
      <c r="N9" s="2">
        <v>-1152000000</v>
      </c>
      <c r="O9" s="2">
        <v>4480000000</v>
      </c>
      <c r="P9" s="2">
        <v>11342000000</v>
      </c>
      <c r="Q9" s="2">
        <v>2619000000</v>
      </c>
      <c r="R9" s="2">
        <v>8723000000</v>
      </c>
      <c r="S9" s="2">
        <v>12065000000</v>
      </c>
      <c r="T9" s="2">
        <v>16545000000</v>
      </c>
      <c r="U9" s="2">
        <v>8728000000</v>
      </c>
      <c r="V9" s="2">
        <f>YEAR(Financials[[#This Row],[fiscalDateEnding]])</f>
        <v>2018</v>
      </c>
    </row>
    <row r="10" spans="2:22" x14ac:dyDescent="0.3">
      <c r="B10" s="10">
        <v>43100</v>
      </c>
      <c r="C10" s="3">
        <v>36943000000</v>
      </c>
      <c r="D10" s="17">
        <v>79139000000</v>
      </c>
      <c r="E10" s="3">
        <v>42196000000</v>
      </c>
      <c r="F10" s="3">
        <v>42196000000</v>
      </c>
      <c r="G10" s="3">
        <v>13139000000</v>
      </c>
      <c r="H10" s="3">
        <v>17911000000</v>
      </c>
      <c r="I10" s="3">
        <v>5590000000</v>
      </c>
      <c r="J10" s="3">
        <v>23804000000</v>
      </c>
      <c r="K10" s="3">
        <v>-471000000</v>
      </c>
      <c r="L10" s="3">
        <v>144000000</v>
      </c>
      <c r="M10" s="3">
        <v>663000000</v>
      </c>
      <c r="N10" s="3">
        <v>216000000</v>
      </c>
      <c r="O10" s="3">
        <v>4541000000</v>
      </c>
      <c r="P10" s="3">
        <v>11400000000</v>
      </c>
      <c r="Q10" s="3">
        <v>5642000000</v>
      </c>
      <c r="R10" s="3">
        <v>5758000000</v>
      </c>
      <c r="S10" s="3">
        <v>12015000000</v>
      </c>
      <c r="T10" s="3">
        <v>16556000000</v>
      </c>
      <c r="U10" s="3">
        <v>5753000000</v>
      </c>
      <c r="V10" s="2">
        <f>YEAR(Financials[[#This Row],[fiscalDateEnding]])</f>
        <v>2017</v>
      </c>
    </row>
    <row r="11" spans="2:22" x14ac:dyDescent="0.3">
      <c r="B11" s="11">
        <v>42735</v>
      </c>
      <c r="C11" s="2">
        <v>38516000000</v>
      </c>
      <c r="D11" s="18">
        <v>79920000000</v>
      </c>
      <c r="E11" s="2">
        <v>41403000000</v>
      </c>
      <c r="F11" s="2">
        <v>41403000000</v>
      </c>
      <c r="G11" s="2">
        <v>14677000000</v>
      </c>
      <c r="H11" s="2">
        <v>18952000000</v>
      </c>
      <c r="I11" s="2">
        <v>5726000000</v>
      </c>
      <c r="J11" s="2">
        <v>24878000000</v>
      </c>
      <c r="K11" s="2">
        <v>-522000000</v>
      </c>
      <c r="L11" s="2">
        <v>108000000</v>
      </c>
      <c r="M11" s="2">
        <v>630000000</v>
      </c>
      <c r="N11" s="2">
        <v>-145000000</v>
      </c>
      <c r="O11" s="2">
        <v>4381000000</v>
      </c>
      <c r="P11" s="2">
        <v>12330000000</v>
      </c>
      <c r="Q11" s="2">
        <v>449000000</v>
      </c>
      <c r="R11" s="2">
        <v>11881000000</v>
      </c>
      <c r="S11" s="2">
        <v>12960000000</v>
      </c>
      <c r="T11" s="2">
        <v>17341000000</v>
      </c>
      <c r="U11" s="2">
        <v>11872000000</v>
      </c>
      <c r="V11" s="2">
        <f>YEAR(Financials[[#This Row],[fiscalDateEnding]])</f>
        <v>2016</v>
      </c>
    </row>
    <row r="12" spans="2:22" x14ac:dyDescent="0.3">
      <c r="B12" s="10">
        <v>42369</v>
      </c>
      <c r="C12" s="3">
        <v>40684000000</v>
      </c>
      <c r="D12" s="17">
        <v>81742000000</v>
      </c>
      <c r="E12" s="3">
        <v>41057000000</v>
      </c>
      <c r="F12" s="3">
        <v>41057000000</v>
      </c>
      <c r="G12" s="3">
        <v>16508000000</v>
      </c>
      <c r="H12" s="3">
        <v>18604000000</v>
      </c>
      <c r="I12" s="3">
        <v>5247000000</v>
      </c>
      <c r="J12" s="3">
        <v>24764000000</v>
      </c>
      <c r="K12" s="3">
        <v>0</v>
      </c>
      <c r="L12" s="3">
        <v>0</v>
      </c>
      <c r="M12" s="3">
        <v>468000000</v>
      </c>
      <c r="N12" s="3">
        <v>724000000</v>
      </c>
      <c r="O12" s="3">
        <v>3855000000</v>
      </c>
      <c r="P12" s="3">
        <v>15945000000</v>
      </c>
      <c r="Q12" s="3">
        <v>2581000000</v>
      </c>
      <c r="R12" s="3">
        <v>13364000000</v>
      </c>
      <c r="S12" s="3">
        <v>16413000000</v>
      </c>
      <c r="T12" s="3">
        <v>20268000000</v>
      </c>
      <c r="U12" s="3">
        <v>13190000000</v>
      </c>
      <c r="V12" s="2">
        <f>YEAR(Financials[[#This Row],[fiscalDateEnding]])</f>
        <v>2015</v>
      </c>
    </row>
    <row r="13" spans="2:22" x14ac:dyDescent="0.3">
      <c r="B13" s="11">
        <v>42004</v>
      </c>
      <c r="C13" s="2">
        <v>46407000000</v>
      </c>
      <c r="D13" s="18">
        <v>92793000000</v>
      </c>
      <c r="E13" s="2">
        <v>46386000000</v>
      </c>
      <c r="F13" s="2">
        <v>46386000000</v>
      </c>
      <c r="G13" s="2">
        <v>20338000000</v>
      </c>
      <c r="H13" s="2">
        <v>21165000000</v>
      </c>
      <c r="I13" s="2">
        <v>5437000000</v>
      </c>
      <c r="J13" s="2">
        <v>27541000000</v>
      </c>
      <c r="K13" s="2">
        <v>0</v>
      </c>
      <c r="L13" s="2">
        <v>0</v>
      </c>
      <c r="M13" s="2">
        <v>484000000</v>
      </c>
      <c r="N13" s="2">
        <v>1938000000</v>
      </c>
      <c r="O13" s="2">
        <v>4492000000</v>
      </c>
      <c r="P13" s="2">
        <v>19986000000</v>
      </c>
      <c r="Q13" s="2">
        <v>4234000000</v>
      </c>
      <c r="R13" s="2">
        <v>15751000000</v>
      </c>
      <c r="S13" s="2">
        <v>20470000000</v>
      </c>
      <c r="T13" s="2">
        <v>24962000000</v>
      </c>
      <c r="U13" s="2">
        <v>12022000000</v>
      </c>
      <c r="V13" s="2">
        <f>YEAR(Financials[[#This Row],[fiscalDateEnding]])</f>
        <v>2014</v>
      </c>
    </row>
    <row r="14" spans="2:22" x14ac:dyDescent="0.3">
      <c r="B14" s="10">
        <v>41639</v>
      </c>
      <c r="C14" s="3">
        <v>48684000000</v>
      </c>
      <c r="D14" s="17">
        <v>98368000000</v>
      </c>
      <c r="E14" s="3">
        <v>49683000000</v>
      </c>
      <c r="F14" s="3">
        <v>49683000000</v>
      </c>
      <c r="G14" s="3">
        <v>21500000000</v>
      </c>
      <c r="H14" s="3">
        <v>21630000000</v>
      </c>
      <c r="I14" s="3">
        <v>5743000000</v>
      </c>
      <c r="J14" s="3">
        <v>28216000000</v>
      </c>
      <c r="K14" s="3">
        <v>0</v>
      </c>
      <c r="L14" s="3">
        <v>0</v>
      </c>
      <c r="M14" s="3">
        <v>402000000</v>
      </c>
      <c r="N14" s="3">
        <v>327000000</v>
      </c>
      <c r="O14" s="3">
        <v>4678000000</v>
      </c>
      <c r="P14" s="3">
        <v>20244000000</v>
      </c>
      <c r="Q14" s="3">
        <v>3363000000</v>
      </c>
      <c r="R14" s="3">
        <v>16483000000</v>
      </c>
      <c r="S14" s="3">
        <v>20646000000</v>
      </c>
      <c r="T14" s="3">
        <v>25324000000</v>
      </c>
      <c r="U14" s="3">
        <v>16483000000</v>
      </c>
      <c r="V14" s="2">
        <f>YEAR(Financials[[#This Row],[fiscalDateEnding]])</f>
        <v>2013</v>
      </c>
    </row>
    <row r="15" spans="2:22" x14ac:dyDescent="0.3">
      <c r="B15" s="11">
        <v>41274</v>
      </c>
      <c r="C15" s="2">
        <v>50361000000</v>
      </c>
      <c r="D15" s="18">
        <v>102874000000</v>
      </c>
      <c r="E15" s="2">
        <v>52513000000</v>
      </c>
      <c r="F15" s="2">
        <v>52513000000</v>
      </c>
      <c r="G15" s="2">
        <v>22990000000</v>
      </c>
      <c r="H15" s="2">
        <v>21746000000</v>
      </c>
      <c r="I15" s="2">
        <v>5816000000</v>
      </c>
      <c r="J15" s="2">
        <v>28155000000</v>
      </c>
      <c r="K15" s="2">
        <v>0</v>
      </c>
      <c r="L15" s="2">
        <v>0</v>
      </c>
      <c r="M15" s="2">
        <v>459000000</v>
      </c>
      <c r="N15" s="2">
        <v>843000000</v>
      </c>
      <c r="O15" s="2">
        <v>4676000000</v>
      </c>
      <c r="P15" s="2">
        <v>22540000000</v>
      </c>
      <c r="Q15" s="2">
        <v>5541000000</v>
      </c>
      <c r="R15" s="2">
        <v>16604000000</v>
      </c>
      <c r="S15" s="2">
        <v>22999000000</v>
      </c>
      <c r="T15" s="2">
        <v>27675000000</v>
      </c>
      <c r="U15" s="2">
        <v>16604000000</v>
      </c>
      <c r="V15" s="2">
        <f>YEAR(Financials[[#This Row],[fiscalDateEnding]])</f>
        <v>2012</v>
      </c>
    </row>
    <row r="16" spans="2:22" x14ac:dyDescent="0.3">
      <c r="B16" s="10">
        <v>40908</v>
      </c>
      <c r="C16" s="3">
        <v>50138000000</v>
      </c>
      <c r="D16" s="17">
        <v>106916000000</v>
      </c>
      <c r="E16" s="3">
        <v>56778000000</v>
      </c>
      <c r="F16" s="3">
        <v>56778000000</v>
      </c>
      <c r="G16" s="3">
        <v>21922000000</v>
      </c>
      <c r="H16" s="3">
        <v>21844000000</v>
      </c>
      <c r="I16" s="3">
        <v>6258000000</v>
      </c>
      <c r="J16" s="3">
        <v>28656000000</v>
      </c>
      <c r="K16" s="3">
        <v>0</v>
      </c>
      <c r="L16" s="3">
        <v>0</v>
      </c>
      <c r="M16" s="3">
        <v>411000000</v>
      </c>
      <c r="N16" s="3">
        <v>20000000</v>
      </c>
      <c r="O16" s="3">
        <v>4815000000</v>
      </c>
      <c r="P16" s="3">
        <v>21003000000</v>
      </c>
      <c r="Q16" s="3">
        <v>5148000000</v>
      </c>
      <c r="R16" s="3">
        <v>15855000000</v>
      </c>
      <c r="S16" s="3">
        <v>21414000000</v>
      </c>
      <c r="T16" s="3">
        <v>26229000000</v>
      </c>
      <c r="U16" s="3">
        <v>15855000000</v>
      </c>
      <c r="V16" s="2">
        <f>YEAR(Financials[[#This Row],[fiscalDateEnding]])</f>
        <v>2011</v>
      </c>
    </row>
    <row r="17" spans="2:22" x14ac:dyDescent="0.3">
      <c r="B17" s="11">
        <v>40543</v>
      </c>
      <c r="C17" s="2">
        <v>46014000000</v>
      </c>
      <c r="D17" s="18">
        <v>99871000000</v>
      </c>
      <c r="E17" s="2">
        <v>53857000000</v>
      </c>
      <c r="F17" s="2">
        <v>53857000000</v>
      </c>
      <c r="G17" s="2">
        <v>19985000000</v>
      </c>
      <c r="H17" s="2">
        <v>20208000000</v>
      </c>
      <c r="I17" s="2">
        <v>6026000000</v>
      </c>
      <c r="J17" s="2">
        <v>26670000000</v>
      </c>
      <c r="K17" s="2">
        <v>0</v>
      </c>
      <c r="L17" s="2">
        <v>0</v>
      </c>
      <c r="M17" s="2">
        <v>368000000</v>
      </c>
      <c r="N17" s="2">
        <v>787000000</v>
      </c>
      <c r="O17" s="2">
        <v>4831000000</v>
      </c>
      <c r="P17" s="2">
        <v>19723000000</v>
      </c>
      <c r="Q17" s="2">
        <v>4890000000</v>
      </c>
      <c r="R17" s="2">
        <v>14833000000</v>
      </c>
      <c r="S17" s="2">
        <v>20091000000</v>
      </c>
      <c r="T17" s="2">
        <v>24922000000</v>
      </c>
      <c r="U17" s="2">
        <v>14833000000</v>
      </c>
      <c r="V17" s="2">
        <f>YEAR(Financials[[#This Row],[fiscalDateEnding]])</f>
        <v>2010</v>
      </c>
    </row>
    <row r="18" spans="2:22" x14ac:dyDescent="0.3">
      <c r="B18" s="10">
        <v>40178</v>
      </c>
      <c r="C18" s="3">
        <v>43785000000</v>
      </c>
      <c r="D18" s="17">
        <v>95758000000</v>
      </c>
      <c r="E18" s="3">
        <v>51973000000</v>
      </c>
      <c r="F18" s="3">
        <v>51973000000</v>
      </c>
      <c r="G18" s="3">
        <v>17012000000</v>
      </c>
      <c r="H18" s="3">
        <v>19269000000</v>
      </c>
      <c r="I18" s="3">
        <v>5820000000</v>
      </c>
      <c r="J18" s="3">
        <v>26773000000</v>
      </c>
      <c r="K18" s="3">
        <v>0</v>
      </c>
      <c r="L18" s="3">
        <v>0</v>
      </c>
      <c r="M18" s="3">
        <v>402000000</v>
      </c>
      <c r="N18" s="3">
        <v>351000000</v>
      </c>
      <c r="O18" s="3">
        <v>4994000000</v>
      </c>
      <c r="P18" s="3">
        <v>18138000000</v>
      </c>
      <c r="Q18" s="3">
        <v>4713000000</v>
      </c>
      <c r="R18" s="3">
        <v>13425000000</v>
      </c>
      <c r="S18" s="3">
        <v>18540000000</v>
      </c>
      <c r="T18" s="3">
        <v>23534000000</v>
      </c>
      <c r="U18" s="3">
        <v>13425000000</v>
      </c>
      <c r="V18" s="2">
        <f>YEAR(Financials[[#This Row],[fiscalDateEnding]])</f>
        <v>2009</v>
      </c>
    </row>
    <row r="19" spans="2:22" x14ac:dyDescent="0.3">
      <c r="B19" s="11">
        <v>39813</v>
      </c>
      <c r="C19" s="2">
        <v>45661000000</v>
      </c>
      <c r="D19" s="18">
        <v>103630000000</v>
      </c>
      <c r="E19" s="2">
        <v>57969000000</v>
      </c>
      <c r="F19" s="2">
        <v>57969000000</v>
      </c>
      <c r="G19" s="2">
        <v>15939000000</v>
      </c>
      <c r="H19" s="2">
        <v>21514000000</v>
      </c>
      <c r="I19" s="2">
        <v>6337000000</v>
      </c>
      <c r="J19" s="2">
        <v>29722000000</v>
      </c>
      <c r="K19" s="2">
        <v>0</v>
      </c>
      <c r="L19" s="2">
        <v>0</v>
      </c>
      <c r="M19" s="2">
        <v>673000000</v>
      </c>
      <c r="N19" s="2">
        <v>0</v>
      </c>
      <c r="O19" s="2">
        <v>5450000000</v>
      </c>
      <c r="P19" s="2">
        <v>16715000000</v>
      </c>
      <c r="Q19" s="2">
        <v>4381000000</v>
      </c>
      <c r="R19" s="2">
        <v>0</v>
      </c>
      <c r="S19" s="2">
        <v>17388000000</v>
      </c>
      <c r="T19" s="2">
        <v>22838000000</v>
      </c>
      <c r="U19" s="2">
        <v>12334000000</v>
      </c>
      <c r="V19" s="2">
        <f>YEAR(Financials[[#This Row],[fiscalDateEnding]])</f>
        <v>2008</v>
      </c>
    </row>
    <row r="20" spans="2:22" x14ac:dyDescent="0.3">
      <c r="B20" s="10">
        <v>39447</v>
      </c>
      <c r="C20" s="3">
        <v>41729000000</v>
      </c>
      <c r="D20" s="17">
        <v>98786000000</v>
      </c>
      <c r="E20" s="3">
        <v>57057000000</v>
      </c>
      <c r="F20" s="3">
        <v>57057000000</v>
      </c>
      <c r="G20" s="3">
        <v>13516000000</v>
      </c>
      <c r="H20" s="3">
        <v>22060000000</v>
      </c>
      <c r="I20" s="3">
        <v>6153000000</v>
      </c>
      <c r="J20" s="3">
        <v>28213000000</v>
      </c>
      <c r="K20" s="3">
        <v>0</v>
      </c>
      <c r="L20" s="3">
        <v>0</v>
      </c>
      <c r="M20" s="3">
        <v>611000000</v>
      </c>
      <c r="N20" s="3">
        <v>0</v>
      </c>
      <c r="O20" s="3">
        <v>5201000000</v>
      </c>
      <c r="P20" s="3">
        <v>14489000000</v>
      </c>
      <c r="Q20" s="3">
        <v>4071000000</v>
      </c>
      <c r="R20" s="3">
        <v>0</v>
      </c>
      <c r="S20" s="3">
        <v>15100000000</v>
      </c>
      <c r="T20" s="3">
        <v>20301000000</v>
      </c>
      <c r="U20" s="3">
        <v>10418000000</v>
      </c>
      <c r="V20" s="2">
        <f>YEAR(Financials[[#This Row],[fiscalDateEnding]])</f>
        <v>2007</v>
      </c>
    </row>
    <row r="21" spans="2:22" x14ac:dyDescent="0.3">
      <c r="B21" s="12">
        <v>39082</v>
      </c>
      <c r="C21" s="5">
        <v>38295000000</v>
      </c>
      <c r="D21" s="19">
        <v>91424000000</v>
      </c>
      <c r="E21" s="5">
        <v>53129000000</v>
      </c>
      <c r="F21" s="5">
        <v>53129000000</v>
      </c>
      <c r="G21" s="5">
        <v>11929000000</v>
      </c>
      <c r="H21" s="5">
        <v>20259000000</v>
      </c>
      <c r="I21" s="5">
        <v>6107000000</v>
      </c>
      <c r="J21" s="5">
        <v>26366000000</v>
      </c>
      <c r="K21" s="5">
        <v>0</v>
      </c>
      <c r="L21" s="5">
        <v>0</v>
      </c>
      <c r="M21" s="5">
        <v>278000000</v>
      </c>
      <c r="N21" s="5">
        <v>0</v>
      </c>
      <c r="O21" s="5">
        <v>4983000000</v>
      </c>
      <c r="P21" s="5">
        <v>13317000000</v>
      </c>
      <c r="Q21" s="5">
        <v>3901000000</v>
      </c>
      <c r="R21" s="5">
        <v>0</v>
      </c>
      <c r="S21" s="5">
        <v>13595000000</v>
      </c>
      <c r="T21" s="5">
        <v>18578000000</v>
      </c>
      <c r="U21" s="5">
        <v>9492000000</v>
      </c>
      <c r="V21" s="5">
        <f>YEAR(Financials[[#This Row],[fiscalDateEnding]])</f>
        <v>2006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9E3F-EB4F-4830-B198-D54ADD9FD522}">
  <dimension ref="A1:BN27"/>
  <sheetViews>
    <sheetView topLeftCell="BL1" zoomScale="85" zoomScaleNormal="85" workbookViewId="0">
      <selection activeCell="BY33" sqref="BY33"/>
    </sheetView>
  </sheetViews>
  <sheetFormatPr defaultRowHeight="14.4" x14ac:dyDescent="0.3"/>
  <cols>
    <col min="1" max="1" width="10.5546875" bestFit="1" customWidth="1"/>
    <col min="2" max="2" width="18.109375" bestFit="1" customWidth="1"/>
    <col min="3" max="4" width="10.77734375" bestFit="1" customWidth="1"/>
    <col min="5" max="5" width="18.109375" bestFit="1" customWidth="1"/>
    <col min="6" max="6" width="20.77734375" bestFit="1" customWidth="1"/>
    <col min="7" max="7" width="12" bestFit="1" customWidth="1"/>
    <col min="8" max="8" width="18.109375" bestFit="1" customWidth="1"/>
    <col min="9" max="12" width="12" bestFit="1" customWidth="1"/>
    <col min="13" max="13" width="13.21875" bestFit="1" customWidth="1"/>
    <col min="14" max="14" width="12.44140625" bestFit="1" customWidth="1"/>
    <col min="15" max="15" width="15.5546875" bestFit="1" customWidth="1"/>
    <col min="16" max="16" width="10.77734375" bestFit="1" customWidth="1"/>
    <col min="17" max="18" width="12" bestFit="1" customWidth="1"/>
    <col min="19" max="19" width="13" bestFit="1" customWidth="1"/>
    <col min="20" max="20" width="12.44140625" bestFit="1" customWidth="1"/>
    <col min="21" max="21" width="14.77734375" bestFit="1" customWidth="1"/>
    <col min="22" max="22" width="12" bestFit="1" customWidth="1"/>
    <col min="29" max="31" width="16.44140625" bestFit="1" customWidth="1"/>
    <col min="32" max="32" width="15.44140625" bestFit="1" customWidth="1"/>
    <col min="33" max="33" width="17.33203125" bestFit="1" customWidth="1"/>
    <col min="34" max="34" width="33.21875" bestFit="1" customWidth="1"/>
    <col min="37" max="37" width="13" bestFit="1" customWidth="1"/>
    <col min="38" max="39" width="16.44140625" bestFit="1" customWidth="1"/>
    <col min="40" max="40" width="15.44140625" bestFit="1" customWidth="1"/>
    <col min="41" max="41" width="17" bestFit="1" customWidth="1"/>
    <col min="47" max="47" width="12.77734375" bestFit="1" customWidth="1"/>
    <col min="48" max="48" width="10.6640625" bestFit="1" customWidth="1"/>
    <col min="49" max="49" width="9.5546875" bestFit="1" customWidth="1"/>
    <col min="50" max="50" width="9.21875" bestFit="1" customWidth="1"/>
    <col min="54" max="54" width="15.5546875" bestFit="1" customWidth="1"/>
    <col min="55" max="55" width="12.77734375" bestFit="1" customWidth="1"/>
    <col min="60" max="60" width="40.33203125" bestFit="1" customWidth="1"/>
    <col min="61" max="64" width="39.109375" bestFit="1" customWidth="1"/>
    <col min="65" max="65" width="39.21875" bestFit="1" customWidth="1"/>
    <col min="66" max="66" width="34" customWidth="1"/>
  </cols>
  <sheetData>
    <row r="1" spans="1:66" x14ac:dyDescent="0.3">
      <c r="A1" s="8" t="s">
        <v>23</v>
      </c>
      <c r="B1" s="14" t="s">
        <v>22</v>
      </c>
    </row>
    <row r="2" spans="1:66" x14ac:dyDescent="0.3">
      <c r="A2" s="13" t="s">
        <v>43</v>
      </c>
      <c r="B2" s="14">
        <v>91424000000</v>
      </c>
      <c r="M2" t="s">
        <v>24</v>
      </c>
      <c r="N2" t="s">
        <v>25</v>
      </c>
      <c r="O2" t="s">
        <v>26</v>
      </c>
      <c r="P2" t="s">
        <v>27</v>
      </c>
      <c r="S2" s="8" t="s">
        <v>21</v>
      </c>
      <c r="T2" t="s">
        <v>29</v>
      </c>
      <c r="U2" t="s">
        <v>30</v>
      </c>
    </row>
    <row r="3" spans="1:66" x14ac:dyDescent="0.3">
      <c r="A3" s="13" t="s">
        <v>44</v>
      </c>
      <c r="B3" s="14">
        <v>98786000000</v>
      </c>
      <c r="M3" s="6">
        <v>22.393316450547641</v>
      </c>
      <c r="N3" s="6">
        <v>12.561010449249959</v>
      </c>
      <c r="O3" s="6">
        <v>16.948799643621506</v>
      </c>
      <c r="P3" s="6">
        <v>48.75206999738527</v>
      </c>
      <c r="S3" s="13" t="s">
        <v>43</v>
      </c>
      <c r="T3" s="6">
        <v>18578000000</v>
      </c>
      <c r="U3" s="6">
        <v>9492000000</v>
      </c>
      <c r="AC3" t="s">
        <v>63</v>
      </c>
      <c r="AD3" t="s">
        <v>35</v>
      </c>
      <c r="AE3" t="s">
        <v>36</v>
      </c>
      <c r="AF3" t="s">
        <v>64</v>
      </c>
      <c r="AG3" t="s">
        <v>65</v>
      </c>
      <c r="AH3" t="s">
        <v>34</v>
      </c>
      <c r="AK3" s="8" t="s">
        <v>21</v>
      </c>
      <c r="AL3" t="s">
        <v>35</v>
      </c>
      <c r="AM3" t="s">
        <v>36</v>
      </c>
      <c r="AN3" t="s">
        <v>37</v>
      </c>
      <c r="AU3" t="s">
        <v>33</v>
      </c>
      <c r="AV3" t="s">
        <v>31</v>
      </c>
      <c r="AW3" t="s">
        <v>32</v>
      </c>
      <c r="BB3" t="s">
        <v>26</v>
      </c>
      <c r="BC3" t="s">
        <v>33</v>
      </c>
      <c r="BH3" t="s">
        <v>38</v>
      </c>
    </row>
    <row r="4" spans="1:66" x14ac:dyDescent="0.3">
      <c r="A4" s="13" t="s">
        <v>45</v>
      </c>
      <c r="B4" s="14">
        <v>103630000000</v>
      </c>
      <c r="S4" s="13" t="s">
        <v>44</v>
      </c>
      <c r="T4" s="6">
        <v>20301000000</v>
      </c>
      <c r="U4" s="6">
        <v>10418000000</v>
      </c>
      <c r="AC4" s="14">
        <v>846701000000</v>
      </c>
      <c r="AD4" s="14">
        <v>387361000000</v>
      </c>
      <c r="AE4" s="14">
        <v>123367000000</v>
      </c>
      <c r="AF4" s="14">
        <v>16470000000</v>
      </c>
      <c r="AG4" s="14">
        <v>50943000000</v>
      </c>
      <c r="AH4" s="14">
        <v>99433000000</v>
      </c>
      <c r="AK4" s="13" t="s">
        <v>43</v>
      </c>
      <c r="AL4" s="14">
        <v>20259000000</v>
      </c>
      <c r="AM4" s="14">
        <v>6107000000</v>
      </c>
      <c r="AN4" s="14">
        <v>278000000</v>
      </c>
      <c r="AU4" s="15">
        <v>32.16630673729675</v>
      </c>
      <c r="AV4" s="15">
        <v>23.445504595152087</v>
      </c>
      <c r="AW4" s="15">
        <v>7.4669405680750716</v>
      </c>
      <c r="BB4" s="15">
        <v>16.948799643621506</v>
      </c>
      <c r="BC4" s="15">
        <v>32.16630673729675</v>
      </c>
      <c r="BH4" s="6">
        <v>177792000000</v>
      </c>
    </row>
    <row r="5" spans="1:66" x14ac:dyDescent="0.3">
      <c r="A5" s="13" t="s">
        <v>46</v>
      </c>
      <c r="B5" s="14">
        <v>95758000000</v>
      </c>
      <c r="S5" s="13" t="s">
        <v>45</v>
      </c>
      <c r="T5" s="6">
        <v>22838000000</v>
      </c>
      <c r="U5" s="6">
        <v>12334000000</v>
      </c>
      <c r="AK5" s="13" t="s">
        <v>44</v>
      </c>
      <c r="AL5" s="14">
        <v>22060000000</v>
      </c>
      <c r="AM5" s="14">
        <v>6153000000</v>
      </c>
      <c r="AN5" s="14">
        <v>611000000</v>
      </c>
    </row>
    <row r="6" spans="1:66" x14ac:dyDescent="0.3">
      <c r="A6" s="13" t="s">
        <v>47</v>
      </c>
      <c r="B6" s="14">
        <v>99871000000</v>
      </c>
      <c r="S6" s="13" t="s">
        <v>46</v>
      </c>
      <c r="T6" s="6">
        <v>23534000000</v>
      </c>
      <c r="U6" s="6">
        <v>13425000000</v>
      </c>
      <c r="AK6" s="13" t="s">
        <v>45</v>
      </c>
      <c r="AL6" s="14">
        <v>21514000000</v>
      </c>
      <c r="AM6" s="14">
        <v>6337000000</v>
      </c>
      <c r="AN6" s="14">
        <v>673000000</v>
      </c>
    </row>
    <row r="7" spans="1:66" x14ac:dyDescent="0.3">
      <c r="A7" s="13" t="s">
        <v>48</v>
      </c>
      <c r="B7" s="14">
        <v>106916000000</v>
      </c>
      <c r="S7" s="13" t="s">
        <v>47</v>
      </c>
      <c r="T7" s="6">
        <v>24922000000</v>
      </c>
      <c r="U7" s="6">
        <v>14833000000</v>
      </c>
      <c r="AK7" s="13" t="s">
        <v>46</v>
      </c>
      <c r="AL7" s="14">
        <v>19269000000</v>
      </c>
      <c r="AM7" s="14">
        <v>5820000000</v>
      </c>
      <c r="AN7" s="14">
        <v>402000000</v>
      </c>
    </row>
    <row r="8" spans="1:66" x14ac:dyDescent="0.3">
      <c r="A8" s="13" t="s">
        <v>49</v>
      </c>
      <c r="B8" s="14">
        <v>102874000000</v>
      </c>
      <c r="S8" s="13" t="s">
        <v>48</v>
      </c>
      <c r="T8" s="6">
        <v>26229000000</v>
      </c>
      <c r="U8" s="6">
        <v>15855000000</v>
      </c>
      <c r="AK8" s="13" t="s">
        <v>47</v>
      </c>
      <c r="AL8" s="14">
        <v>20208000000</v>
      </c>
      <c r="AM8" s="14">
        <v>6026000000</v>
      </c>
      <c r="AN8" s="14">
        <v>368000000</v>
      </c>
    </row>
    <row r="9" spans="1:66" x14ac:dyDescent="0.3">
      <c r="A9" s="13" t="s">
        <v>50</v>
      </c>
      <c r="B9" s="14">
        <v>98368000000</v>
      </c>
      <c r="S9" s="13" t="s">
        <v>49</v>
      </c>
      <c r="T9" s="6">
        <v>27675000000</v>
      </c>
      <c r="U9" s="6">
        <v>16604000000</v>
      </c>
      <c r="AK9" s="13" t="s">
        <v>48</v>
      </c>
      <c r="AL9" s="14">
        <v>21844000000</v>
      </c>
      <c r="AM9" s="14">
        <v>6258000000</v>
      </c>
      <c r="AN9" s="14">
        <v>411000000</v>
      </c>
      <c r="BK9" s="7" t="s">
        <v>39</v>
      </c>
      <c r="BL9" s="7" t="s">
        <v>40</v>
      </c>
      <c r="BM9" s="7" t="s">
        <v>37</v>
      </c>
      <c r="BN9" s="7" t="s">
        <v>41</v>
      </c>
    </row>
    <row r="10" spans="1:66" x14ac:dyDescent="0.3">
      <c r="A10" s="13" t="s">
        <v>51</v>
      </c>
      <c r="B10" s="14">
        <v>92793000000</v>
      </c>
      <c r="S10" s="13" t="s">
        <v>50</v>
      </c>
      <c r="T10" s="6">
        <v>25324000000</v>
      </c>
      <c r="U10" s="6">
        <v>16483000000</v>
      </c>
      <c r="AK10" s="13" t="s">
        <v>49</v>
      </c>
      <c r="AL10" s="14">
        <v>21746000000</v>
      </c>
      <c r="AM10" s="14">
        <v>5816000000</v>
      </c>
      <c r="AN10" s="14">
        <v>459000000</v>
      </c>
      <c r="BK10" s="16">
        <v>805470000000</v>
      </c>
      <c r="BL10" s="16">
        <v>531444000000</v>
      </c>
      <c r="BM10" s="16">
        <v>16470000000</v>
      </c>
      <c r="BN10" s="16">
        <v>177792000000</v>
      </c>
    </row>
    <row r="11" spans="1:66" x14ac:dyDescent="0.3">
      <c r="A11" s="13" t="s">
        <v>52</v>
      </c>
      <c r="B11" s="14">
        <v>81742000000</v>
      </c>
      <c r="S11" s="13" t="s">
        <v>51</v>
      </c>
      <c r="T11" s="6">
        <v>24962000000</v>
      </c>
      <c r="U11" s="6">
        <v>12022000000</v>
      </c>
      <c r="AK11" s="13" t="s">
        <v>50</v>
      </c>
      <c r="AL11" s="14">
        <v>21630000000</v>
      </c>
      <c r="AM11" s="14">
        <v>5743000000</v>
      </c>
      <c r="AN11" s="14">
        <v>402000000</v>
      </c>
    </row>
    <row r="12" spans="1:66" x14ac:dyDescent="0.3">
      <c r="A12" s="13" t="s">
        <v>53</v>
      </c>
      <c r="B12" s="14">
        <v>79920000000</v>
      </c>
      <c r="S12" s="13" t="s">
        <v>52</v>
      </c>
      <c r="T12" s="6">
        <v>20268000000</v>
      </c>
      <c r="U12" s="6">
        <v>13190000000</v>
      </c>
      <c r="AK12" s="13" t="s">
        <v>51</v>
      </c>
      <c r="AL12" s="14">
        <v>21165000000</v>
      </c>
      <c r="AM12" s="14">
        <v>5437000000</v>
      </c>
      <c r="AN12" s="14">
        <v>484000000</v>
      </c>
    </row>
    <row r="13" spans="1:66" x14ac:dyDescent="0.3">
      <c r="A13" s="13" t="s">
        <v>54</v>
      </c>
      <c r="B13" s="14">
        <v>79139000000</v>
      </c>
      <c r="S13" s="13" t="s">
        <v>53</v>
      </c>
      <c r="T13" s="6">
        <v>17341000000</v>
      </c>
      <c r="U13" s="6">
        <v>11872000000</v>
      </c>
      <c r="AK13" s="13" t="s">
        <v>52</v>
      </c>
      <c r="AL13" s="14">
        <v>18604000000</v>
      </c>
      <c r="AM13" s="14">
        <v>5247000000</v>
      </c>
      <c r="AN13" s="14">
        <v>468000000</v>
      </c>
    </row>
    <row r="14" spans="1:66" x14ac:dyDescent="0.3">
      <c r="A14" s="13" t="s">
        <v>55</v>
      </c>
      <c r="B14" s="14">
        <v>79591000000</v>
      </c>
      <c r="S14" s="13" t="s">
        <v>54</v>
      </c>
      <c r="T14" s="6">
        <v>16556000000</v>
      </c>
      <c r="U14" s="6">
        <v>5753000000</v>
      </c>
      <c r="AK14" s="13" t="s">
        <v>53</v>
      </c>
      <c r="AL14" s="14">
        <v>18952000000</v>
      </c>
      <c r="AM14" s="14">
        <v>5726000000</v>
      </c>
      <c r="AN14" s="14">
        <v>630000000</v>
      </c>
    </row>
    <row r="15" spans="1:66" x14ac:dyDescent="0.3">
      <c r="A15" s="13" t="s">
        <v>56</v>
      </c>
      <c r="B15" s="14">
        <v>57714000000</v>
      </c>
      <c r="S15" s="13" t="s">
        <v>55</v>
      </c>
      <c r="T15" s="6">
        <v>16545000000</v>
      </c>
      <c r="U15" s="6">
        <v>8728000000</v>
      </c>
      <c r="AK15" s="13" t="s">
        <v>54</v>
      </c>
      <c r="AL15" s="14">
        <v>17911000000</v>
      </c>
      <c r="AM15" s="14">
        <v>5590000000</v>
      </c>
      <c r="AN15" s="14">
        <v>663000000</v>
      </c>
    </row>
    <row r="16" spans="1:66" x14ac:dyDescent="0.3">
      <c r="A16" s="13" t="s">
        <v>57</v>
      </c>
      <c r="B16" s="14">
        <v>73621000000</v>
      </c>
      <c r="S16" s="13" t="s">
        <v>56</v>
      </c>
      <c r="T16" s="6">
        <v>14609000000</v>
      </c>
      <c r="U16" s="6">
        <v>9431000000</v>
      </c>
      <c r="AK16" s="13" t="s">
        <v>55</v>
      </c>
      <c r="AL16" s="14">
        <v>17900000000</v>
      </c>
      <c r="AM16" s="14">
        <v>5379000000</v>
      </c>
      <c r="AN16" s="14">
        <v>686000000</v>
      </c>
    </row>
    <row r="17" spans="1:40" x14ac:dyDescent="0.3">
      <c r="A17" s="13" t="s">
        <v>58</v>
      </c>
      <c r="B17" s="14">
        <v>57351000000</v>
      </c>
      <c r="M17" s="20">
        <f>GETPIVOTDATA("[Measures].[EBITDA Margin]",$M$2)</f>
        <v>22.393316450547641</v>
      </c>
      <c r="N17" s="20">
        <f>GETPIVOTDATA("[Measures].[Net Margin]",$M$2)</f>
        <v>12.561010449249959</v>
      </c>
      <c r="S17" s="13" t="s">
        <v>57</v>
      </c>
      <c r="T17" s="6">
        <v>12709000000</v>
      </c>
      <c r="U17" s="6">
        <v>5590000000</v>
      </c>
      <c r="AK17" s="13" t="s">
        <v>56</v>
      </c>
      <c r="AL17" s="14">
        <v>17215000000</v>
      </c>
      <c r="AM17" s="14">
        <v>5910000000</v>
      </c>
      <c r="AN17" s="14">
        <v>1022000000</v>
      </c>
    </row>
    <row r="18" spans="1:40" x14ac:dyDescent="0.3">
      <c r="A18" s="13" t="s">
        <v>59</v>
      </c>
      <c r="B18" s="14">
        <v>60530000000</v>
      </c>
      <c r="C18" t="s">
        <v>27</v>
      </c>
      <c r="E18" t="s">
        <v>42</v>
      </c>
      <c r="H18" t="s">
        <v>22</v>
      </c>
      <c r="S18" s="13" t="s">
        <v>58</v>
      </c>
      <c r="T18" s="6">
        <v>13438000000</v>
      </c>
      <c r="U18" s="6">
        <v>5742000000</v>
      </c>
      <c r="AK18" s="13" t="s">
        <v>57</v>
      </c>
      <c r="AL18" s="14">
        <v>20308000000</v>
      </c>
      <c r="AM18" s="14">
        <v>6333000000</v>
      </c>
      <c r="AN18" s="14">
        <v>1288000000</v>
      </c>
    </row>
    <row r="19" spans="1:40" x14ac:dyDescent="0.3">
      <c r="A19" s="13" t="s">
        <v>60</v>
      </c>
      <c r="B19" s="14">
        <v>61860000000</v>
      </c>
      <c r="C19" s="14">
        <v>48.75206999738527</v>
      </c>
      <c r="E19" s="14">
        <v>1584641000000</v>
      </c>
      <c r="H19" s="14">
        <v>1652176000000</v>
      </c>
      <c r="S19" s="13" t="s">
        <v>59</v>
      </c>
      <c r="T19" s="6">
        <v>7174000000</v>
      </c>
      <c r="U19" s="6">
        <v>1640000000</v>
      </c>
      <c r="AK19" s="13" t="s">
        <v>58</v>
      </c>
      <c r="AL19" s="14">
        <v>17699000000</v>
      </c>
      <c r="AM19" s="14">
        <v>6488000000</v>
      </c>
      <c r="AN19" s="14">
        <v>1155000000</v>
      </c>
    </row>
    <row r="20" spans="1:40" x14ac:dyDescent="0.3">
      <c r="A20" s="13" t="s">
        <v>61</v>
      </c>
      <c r="B20" s="14">
        <v>62753000000</v>
      </c>
      <c r="S20" s="13" t="s">
        <v>60</v>
      </c>
      <c r="T20" s="6">
        <v>7514000000</v>
      </c>
      <c r="U20" s="6">
        <v>7502000000</v>
      </c>
      <c r="AK20" s="13" t="s">
        <v>59</v>
      </c>
      <c r="AL20" s="14">
        <v>16103000000</v>
      </c>
      <c r="AM20" s="14">
        <v>6567000000</v>
      </c>
      <c r="AN20" s="14">
        <v>1216000000</v>
      </c>
    </row>
    <row r="21" spans="1:40" x14ac:dyDescent="0.3">
      <c r="A21" s="13" t="s">
        <v>62</v>
      </c>
      <c r="B21" s="14">
        <v>67535000000</v>
      </c>
      <c r="C21" s="20">
        <f>GETPIVOTDATA("[Measures].[Gross Mrgin]",$C$18)</f>
        <v>48.75206999738527</v>
      </c>
      <c r="S21" s="13" t="s">
        <v>61</v>
      </c>
      <c r="T21" s="6">
        <v>12176000000</v>
      </c>
      <c r="U21" s="6">
        <v>6023000000</v>
      </c>
      <c r="AK21" s="13" t="s">
        <v>60</v>
      </c>
      <c r="AL21" s="14">
        <v>17952000000</v>
      </c>
      <c r="AM21" s="14">
        <v>6631000000</v>
      </c>
      <c r="AN21" s="14">
        <v>1607000000</v>
      </c>
    </row>
    <row r="22" spans="1:40" x14ac:dyDescent="0.3">
      <c r="A22" s="13" t="s">
        <v>20</v>
      </c>
      <c r="B22" s="14">
        <v>1652176000000</v>
      </c>
      <c r="E22" s="16">
        <f>GETPIVOTDATA("[Measures].[Revenue LY]",$E$18)</f>
        <v>1584641000000</v>
      </c>
      <c r="S22" s="13" t="s">
        <v>62</v>
      </c>
      <c r="T22" s="6">
        <v>17284000000</v>
      </c>
      <c r="U22" s="6">
        <v>10593000000</v>
      </c>
      <c r="AK22" s="13" t="s">
        <v>61</v>
      </c>
      <c r="AL22" s="14">
        <v>16737000000</v>
      </c>
      <c r="AM22" s="14">
        <v>7479000000</v>
      </c>
      <c r="AN22" s="14">
        <v>1712000000</v>
      </c>
    </row>
    <row r="23" spans="1:40" x14ac:dyDescent="0.3">
      <c r="S23" s="13" t="s">
        <v>20</v>
      </c>
      <c r="T23" s="6">
        <v>369977000000</v>
      </c>
      <c r="U23" s="6">
        <v>207530000000</v>
      </c>
      <c r="AK23" s="13" t="s">
        <v>62</v>
      </c>
      <c r="AL23" s="14">
        <v>18285000000</v>
      </c>
      <c r="AM23" s="14">
        <v>8320000000</v>
      </c>
      <c r="AN23" s="14">
        <v>1935000000</v>
      </c>
    </row>
    <row r="24" spans="1:40" x14ac:dyDescent="0.3">
      <c r="AK24" s="13" t="s">
        <v>20</v>
      </c>
      <c r="AL24" s="14">
        <v>387361000000</v>
      </c>
      <c r="AM24" s="14">
        <v>123367000000</v>
      </c>
      <c r="AN24" s="14">
        <v>16470000000</v>
      </c>
    </row>
    <row r="27" spans="1:40" x14ac:dyDescent="0.3">
      <c r="F27" s="16">
        <f>GETPIVOTDATA("[Measures].[Total Revenue]",$H$18)</f>
        <v>1652176000000</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8660-1CE5-4687-953E-2A03AA92DE77}">
  <dimension ref="B4"/>
  <sheetViews>
    <sheetView showGridLines="0" showRowColHeaders="0" tabSelected="1" workbookViewId="0">
      <selection activeCell="T5" sqref="T5"/>
    </sheetView>
  </sheetViews>
  <sheetFormatPr defaultRowHeight="14.4" x14ac:dyDescent="0.3"/>
  <cols>
    <col min="2" max="2" width="21.109375" bestFit="1" customWidth="1"/>
  </cols>
  <sheetData>
    <row r="4" spans="2:2" x14ac:dyDescent="0.3">
      <c r="B4"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4B570D4C-CBC8-4D96-9256-1629CFAC5011}">
  <ds:schemaRefs/>
</ds:datastoreItem>
</file>

<file path=customXml/itemProps2.xml><?xml version="1.0" encoding="utf-8"?>
<ds:datastoreItem xmlns:ds="http://schemas.openxmlformats.org/officeDocument/2006/customXml" ds:itemID="{06E67E88-7D88-4343-92C1-0EF9A5711C69}">
  <ds:schemaRefs/>
</ds:datastoreItem>
</file>

<file path=customXml/itemProps3.xml><?xml version="1.0" encoding="utf-8"?>
<ds:datastoreItem xmlns:ds="http://schemas.openxmlformats.org/officeDocument/2006/customXml" ds:itemID="{10F44700-93F8-4A21-B999-A9825A7C9632}">
  <ds:schemaRefs/>
</ds:datastoreItem>
</file>

<file path=customXml/itemProps4.xml><?xml version="1.0" encoding="utf-8"?>
<ds:datastoreItem xmlns:ds="http://schemas.openxmlformats.org/officeDocument/2006/customXml" ds:itemID="{BE17429C-CC61-4BE0-A7EF-A429268D93C9}">
  <ds:schemaRefs/>
</ds:datastoreItem>
</file>

<file path=customXml/itemProps5.xml><?xml version="1.0" encoding="utf-8"?>
<ds:datastoreItem xmlns:ds="http://schemas.openxmlformats.org/officeDocument/2006/customXml" ds:itemID="{E5A7E848-0998-4F56-AB3D-D5E0E8DEAD82}">
  <ds:schemaRefs/>
</ds:datastoreItem>
</file>

<file path=customXml/itemProps6.xml><?xml version="1.0" encoding="utf-8"?>
<ds:datastoreItem xmlns:ds="http://schemas.openxmlformats.org/officeDocument/2006/customXml" ds:itemID="{BF6724A1-A287-492E-8A90-B7FAC240ADC9}">
  <ds:schemaRefs/>
</ds:datastoreItem>
</file>

<file path=customXml/itemProps7.xml><?xml version="1.0" encoding="utf-8"?>
<ds:datastoreItem xmlns:ds="http://schemas.openxmlformats.org/officeDocument/2006/customXml" ds:itemID="{E593A107-FD98-4AEF-9254-5C8182643C43}">
  <ds:schemaRefs/>
</ds:datastoreItem>
</file>

<file path=customXml/itemProps8.xml><?xml version="1.0" encoding="utf-8"?>
<ds:datastoreItem xmlns:ds="http://schemas.openxmlformats.org/officeDocument/2006/customXml" ds:itemID="{2FFC817F-1AB4-46B1-AE07-2485BBFB2945}">
  <ds:schemaRefs/>
</ds:datastoreItem>
</file>

<file path=customXml/itemProps9.xml><?xml version="1.0" encoding="utf-8"?>
<ds:datastoreItem xmlns:ds="http://schemas.openxmlformats.org/officeDocument/2006/customXml" ds:itemID="{53742321-9B3B-4265-8BDD-A938832574C8}">
  <ds:schemaRefs/>
</ds:datastoreItem>
</file>

<file path=customXml/itemProps10.xml><?xml version="1.0" encoding="utf-8"?>
<ds:datastoreItem xmlns:ds="http://schemas.openxmlformats.org/officeDocument/2006/customXml" ds:itemID="{D2D66114-1990-4A6C-ACCD-EA67CD08161F}">
  <ds:schemaRefs/>
</ds:datastoreItem>
</file>

<file path=customXml/itemProps11.xml><?xml version="1.0" encoding="utf-8"?>
<ds:datastoreItem xmlns:ds="http://schemas.openxmlformats.org/officeDocument/2006/customXml" ds:itemID="{AD43EB95-589C-4735-BD7F-E46C849DA0D7}">
  <ds:schemaRefs/>
</ds:datastoreItem>
</file>

<file path=customXml/itemProps12.xml><?xml version="1.0" encoding="utf-8"?>
<ds:datastoreItem xmlns:ds="http://schemas.openxmlformats.org/officeDocument/2006/customXml" ds:itemID="{7C9FE164-2F28-48E2-A741-8FAB1B1D8EA2}">
  <ds:schemaRefs/>
</ds:datastoreItem>
</file>

<file path=customXml/itemProps13.xml><?xml version="1.0" encoding="utf-8"?>
<ds:datastoreItem xmlns:ds="http://schemas.openxmlformats.org/officeDocument/2006/customXml" ds:itemID="{29437E65-09F7-408D-86F0-FE6108B32A22}">
  <ds:schemaRefs/>
</ds:datastoreItem>
</file>

<file path=customXml/itemProps14.xml><?xml version="1.0" encoding="utf-8"?>
<ds:datastoreItem xmlns:ds="http://schemas.openxmlformats.org/officeDocument/2006/customXml" ds:itemID="{8C1055FC-3653-4C8E-B558-A59AD840DECF}">
  <ds:schemaRefs/>
</ds:datastoreItem>
</file>

<file path=customXml/itemProps15.xml><?xml version="1.0" encoding="utf-8"?>
<ds:datastoreItem xmlns:ds="http://schemas.openxmlformats.org/officeDocument/2006/customXml" ds:itemID="{41AEC7EB-0964-4A21-9C10-4FC0C80276E9}">
  <ds:schemaRefs/>
</ds:datastoreItem>
</file>

<file path=customXml/itemProps16.xml><?xml version="1.0" encoding="utf-8"?>
<ds:datastoreItem xmlns:ds="http://schemas.openxmlformats.org/officeDocument/2006/customXml" ds:itemID="{E564208F-6155-4BDC-B72C-8466BE02D5F3}">
  <ds:schemaRefs/>
</ds:datastoreItem>
</file>

<file path=customXml/itemProps17.xml><?xml version="1.0" encoding="utf-8"?>
<ds:datastoreItem xmlns:ds="http://schemas.openxmlformats.org/officeDocument/2006/customXml" ds:itemID="{0873459B-F368-4FA9-BAD9-1EA025B406B1}">
  <ds:schemaRefs/>
</ds:datastoreItem>
</file>

<file path=customXml/itemProps18.xml><?xml version="1.0" encoding="utf-8"?>
<ds:datastoreItem xmlns:ds="http://schemas.openxmlformats.org/officeDocument/2006/customXml" ds:itemID="{9470A871-9351-453D-AA95-1C54D734E743}">
  <ds:schemaRefs/>
</ds:datastoreItem>
</file>

<file path=customXml/itemProps19.xml><?xml version="1.0" encoding="utf-8"?>
<ds:datastoreItem xmlns:ds="http://schemas.openxmlformats.org/officeDocument/2006/customXml" ds:itemID="{9E56FC90-E748-4A85-852B-4311559795C2}">
  <ds:schemaRefs/>
</ds:datastoreItem>
</file>

<file path=customXml/itemProps20.xml><?xml version="1.0" encoding="utf-8"?>
<ds:datastoreItem xmlns:ds="http://schemas.openxmlformats.org/officeDocument/2006/customXml" ds:itemID="{8A5D5D3F-2AF1-426A-B31A-F5A828E57600}">
  <ds:schemaRefs/>
</ds:datastoreItem>
</file>

<file path=customXml/itemProps21.xml><?xml version="1.0" encoding="utf-8"?>
<ds:datastoreItem xmlns:ds="http://schemas.openxmlformats.org/officeDocument/2006/customXml" ds:itemID="{74A24A58-15CA-4D80-873E-60571075855A}">
  <ds:schemaRefs/>
</ds:datastoreItem>
</file>

<file path=customXml/itemProps22.xml><?xml version="1.0" encoding="utf-8"?>
<ds:datastoreItem xmlns:ds="http://schemas.openxmlformats.org/officeDocument/2006/customXml" ds:itemID="{09E3B96B-5D0C-46E8-886C-9377884E8520}">
  <ds:schemaRefs/>
</ds:datastoreItem>
</file>

<file path=customXml/itemProps23.xml><?xml version="1.0" encoding="utf-8"?>
<ds:datastoreItem xmlns:ds="http://schemas.openxmlformats.org/officeDocument/2006/customXml" ds:itemID="{B8CFA4F8-7089-4FC2-A1A4-C88E4350CBCD}">
  <ds:schemaRefs/>
</ds:datastoreItem>
</file>

<file path=customXml/itemProps24.xml><?xml version="1.0" encoding="utf-8"?>
<ds:datastoreItem xmlns:ds="http://schemas.openxmlformats.org/officeDocument/2006/customXml" ds:itemID="{E3460D75-2454-491C-9C38-919492A633F9}">
  <ds:schemaRefs/>
</ds:datastoreItem>
</file>

<file path=customXml/itemProps25.xml><?xml version="1.0" encoding="utf-8"?>
<ds:datastoreItem xmlns:ds="http://schemas.openxmlformats.org/officeDocument/2006/customXml" ds:itemID="{F3DAB21F-CE3A-41C0-920A-655C6576B767}">
  <ds:schemaRefs>
    <ds:schemaRef ds:uri="http://schemas.microsoft.com/DataMashup"/>
  </ds:schemaRefs>
</ds:datastoreItem>
</file>

<file path=customXml/itemProps26.xml><?xml version="1.0" encoding="utf-8"?>
<ds:datastoreItem xmlns:ds="http://schemas.openxmlformats.org/officeDocument/2006/customXml" ds:itemID="{BCB30FBF-A8CD-4BA5-B3CB-D47267535F6A}">
  <ds:schemaRefs/>
</ds:datastoreItem>
</file>

<file path=customXml/itemProps27.xml><?xml version="1.0" encoding="utf-8"?>
<ds:datastoreItem xmlns:ds="http://schemas.openxmlformats.org/officeDocument/2006/customXml" ds:itemID="{D7E73D02-ACC2-4953-BFA5-CD6A4CDA684A}">
  <ds:schemaRefs/>
</ds:datastoreItem>
</file>

<file path=customXml/itemProps28.xml><?xml version="1.0" encoding="utf-8"?>
<ds:datastoreItem xmlns:ds="http://schemas.openxmlformats.org/officeDocument/2006/customXml" ds:itemID="{13618A7A-350D-4588-AB95-77DB57CD0A02}">
  <ds:schemaRefs/>
</ds:datastoreItem>
</file>

<file path=customXml/itemProps29.xml><?xml version="1.0" encoding="utf-8"?>
<ds:datastoreItem xmlns:ds="http://schemas.openxmlformats.org/officeDocument/2006/customXml" ds:itemID="{179D8EBD-65F2-4F55-BC26-E9142F10F816}">
  <ds:schemaRefs/>
</ds:datastoreItem>
</file>

<file path=customXml/itemProps30.xml><?xml version="1.0" encoding="utf-8"?>
<ds:datastoreItem xmlns:ds="http://schemas.openxmlformats.org/officeDocument/2006/customXml" ds:itemID="{C4BD5774-5C48-47F7-B263-93CF5333DCBF}">
  <ds:schemaRefs/>
</ds:datastoreItem>
</file>

<file path=customXml/itemProps31.xml><?xml version="1.0" encoding="utf-8"?>
<ds:datastoreItem xmlns:ds="http://schemas.openxmlformats.org/officeDocument/2006/customXml" ds:itemID="{A1CF44D8-1441-4A4E-9634-7F22E44E08C4}">
  <ds:schemaRefs/>
</ds:datastoreItem>
</file>

<file path=customXml/itemProps32.xml><?xml version="1.0" encoding="utf-8"?>
<ds:datastoreItem xmlns:ds="http://schemas.openxmlformats.org/officeDocument/2006/customXml" ds:itemID="{4D16D4D3-B07D-488B-925E-A14A09BA91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 statment</vt:lpstr>
      <vt:lpstr>Financial Calculations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hb</cp:lastModifiedBy>
  <dcterms:created xsi:type="dcterms:W3CDTF">2026-05-15T15:35:27Z</dcterms:created>
  <dcterms:modified xsi:type="dcterms:W3CDTF">2026-05-17T17:45:54Z</dcterms:modified>
</cp:coreProperties>
</file>